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c329bf21949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6daa66d471648f1"/>
    <x:sheet xmlns:r="http://schemas.openxmlformats.org/officeDocument/2006/relationships" name="30th Products" sheetId="2" r:id="R10f7b175b5de4453"/>
    <x:sheet xmlns:r="http://schemas.openxmlformats.org/officeDocument/2006/relationships" name="Acquisition Tracker" sheetId="3" r:id="R4518bdb261c94e19"/>
    <x:sheet xmlns:r="http://schemas.openxmlformats.org/officeDocument/2006/relationships" name="Retailer Watchlist" sheetId="4" r:id="Rda3a6c77b38946c1"/>
    <x:sheet xmlns:r="http://schemas.openxmlformats.org/officeDocument/2006/relationships" name="Buy Rules" sheetId="5" r:id="R2e0d11359a9e4eff"/>
    <x:sheet xmlns:r="http://schemas.openxmlformats.org/officeDocument/2006/relationships" name="Sources" sheetId="6" r:id="Rf387d5a90d2f42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%"/>
    <x:numFmt numFmtId="202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74151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D9EAF7"/>
      </x:patternFill>
    </x:fill>
    <x:fill>
      <x:patternFill patternType="solid">
        <x:fgColor rgb="FF2563EB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7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</x:dxf>
    <x:dxf>
      <x:font>
        <x:b/>
        <x:color rgb="FF991B1B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4cb9d996b4521" /><Relationship Type="http://schemas.openxmlformats.org/officeDocument/2006/relationships/theme" Target="/xl/theme/theme1.xml" Id="R3aafb9cfad8a421a" /><Relationship Type="http://schemas.openxmlformats.org/officeDocument/2006/relationships/sharedStrings" Target="/xl/sharedStrings.xml" Id="R1695acf4136f4358" /><Relationship Type="http://schemas.openxmlformats.org/officeDocument/2006/relationships/worksheet" Target="/xl/worksheets/sheet1.xml" Id="R56daa66d471648f1" /><Relationship Type="http://schemas.openxmlformats.org/officeDocument/2006/relationships/worksheet" Target="/xl/worksheets/sheet2.xml" Id="R10f7b175b5de4453" /><Relationship Type="http://schemas.openxmlformats.org/officeDocument/2006/relationships/worksheet" Target="/xl/worksheets/sheet3.xml" Id="R4518bdb261c94e19" /><Relationship Type="http://schemas.openxmlformats.org/officeDocument/2006/relationships/worksheet" Target="/xl/worksheets/sheet4.xml" Id="Rda3a6c77b38946c1" /><Relationship Type="http://schemas.openxmlformats.org/officeDocument/2006/relationships/worksheet" Target="/xl/worksheets/sheet5.xml" Id="R2e0d11359a9e4eff" /><Relationship Type="http://schemas.openxmlformats.org/officeDocument/2006/relationships/worksheet" Target="/xl/worksheets/sheet6.xml" Id="Rf387d5a90d2f42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25cd802e1b452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MSRP Budget</c:v>
          </c:tx>
          <c:cat>
            <c:strRef>
              <c:f>'Dashboard'!$D$5:$D$11</c:f>
              <c:strCache>
                <c:ptCount val="0"/>
              </c:strCache>
            </c:strRef>
          </c:cat>
          <c:val>
            <c:numRef>
              <c:f>'Dashboard'!$H$5:$H$11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25cd802e1b452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StrategyTable" displayName="ProductStrategyTable" ref="A1:M18" headerRowCount="1">
  <x:tableColumns count="13">
    <x:tableColumn id="1" name="Release Date"/>
    <x:tableColumn id="2" name="Product"/>
    <x:tableColumn id="3" name="MSRP"/>
    <x:tableColumn id="4" name="Packs"/>
    <x:tableColumn id="5" name="Priority"/>
    <x:tableColumn id="6" name="Goal Qty"/>
    <x:tableColumn id="7" name="MSRP Budget"/>
    <x:tableColumn id="8" name="Buy Under"/>
    <x:tableColumn id="9" name="Fair Cap"/>
    <x:tableColumn id="10" name="Pass Above"/>
    <x:tableColumn id="11" name="Pack MSRP"/>
    <x:tableColumn id="12" name="Thesis / Notes"/>
    <x:tableColumn id="13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AcquisitionTable" displayName="AcquisitionTable" ref="A1:O250" headerRowCount="1">
  <x:tableColumns count="15">
    <x:tableColumn id="1" name="Date"/>
    <x:tableColumn id="2" name="Product"/>
    <x:tableColumn id="3" name="Retailer"/>
    <x:tableColumn id="4" name="Qty"/>
    <x:tableColumn id="5" name="Unit Price"/>
    <x:tableColumn id="6" name="Tax/Ship"/>
    <x:tableColumn id="7" name="Total Cost"/>
    <x:tableColumn id="8" name="MSRP/unit"/>
    <x:tableColumn id="9" name="% Over MSRP"/>
    <x:tableColumn id="10" name="Market Est/unit"/>
    <x:tableColumn id="11" name="Market Est Total"/>
    <x:tableColumn id="12" name="Gain/Loss"/>
    <x:tableColumn id="13" name="Priority"/>
    <x:tableColumn id="14" name="Status"/>
    <x:tableColumn id="1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tailerWatchTable" displayName="RetailerWatchTable" ref="A1:H9" headerRowCount="1">
  <x:tableColumns count="8">
    <x:tableColumn id="1" name="Retailer"/>
    <x:tableColumn id="2" name="Type"/>
    <x:tableColumn id="3" name="Account/Pro Needed"/>
    <x:tableColumn id="4" name="Alert Method"/>
    <x:tableColumn id="5" name="Expected Strategy"/>
    <x:tableColumn id="6" name="Risk"/>
    <x:tableColumn id="7" name="Target Action"/>
    <x:tableColumn id="8" name="URL"/>
  </x:tableColumns>
  <x:tableStyleInfo name="TableStyleMedium2" showRowStripes="1"/>
</x:table>
</file>

<file path=xl/tables/table4.xml><?xml version="1.0" encoding="utf-8"?>
<x:table xmlns:x="http://schemas.openxmlformats.org/spreadsheetml/2006/main" id="4" name="RulesTable" displayName="RulesTable" ref="A1:D7" headerRowCount="1">
  <x:tableColumns count="4">
    <x:tableColumn id="1" name="Rule"/>
    <x:tableColumn id="2" name="Trigger"/>
    <x:tableColumn id="3" name="Action"/>
    <x:tableColumn id="4" name="Rationale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C5" headerRowCount="1">
  <x:tableColumns count="3">
    <x:tableColumn id="1" name="Source"/>
    <x:tableColumn id="2" name="Use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825dc03d11b42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d095c118d34a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d8ab467a614e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5852f2ae584d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618fca68264d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92cbceca4d4dc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3" hidden="0" customWidth="1"/>
    <x:col min="4" max="4" width="28" hidden="0" customWidth="1"/>
    <x:col min="5" max="5" width="12" hidden="0" customWidth="1"/>
    <x:col min="6" max="6" width="14" hidden="0" customWidth="1"/>
    <x:col min="7" max="7" width="10" hidden="0" customWidth="1"/>
    <x:col min="8" max="8" width="15" hidden="0" customWidth="1"/>
  </x:cols>
  <x:sheetData>
    <x:row r="1">
      <x:c r="A1" s="5" t="str">
        <x:v>Pokémon 30th Celebration Investment Tracker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Reserved strategy workbook: MSRP-first acquisition plan, buy thresholds, retailer watchlist, and order tracker.</x:v>
      </x:c>
      <x:c r="B2" s="12"/>
      <x:c r="C2" s="12"/>
      <x:c r="D2" s="12"/>
      <x:c r="E2" s="12"/>
      <x:c r="F2" s="12"/>
      <x:c r="G2" s="12"/>
      <x:c r="H2" s="12"/>
    </x:row>
    <x:row r="4">
      <x:c r="A4" s="30" t="str">
        <x:v>Total 30th Budget</x:v>
      </x:c>
      <x:c r="B4" s="36" t="n">
        <x:v>2000</x:v>
      </x:c>
      <x:c r="C4" s="31"/>
      <x:c r="D4" s="32" t="str">
        <x:v>Priority</x:v>
      </x:c>
      <x:c r="E4" s="32" t="str">
        <x:v>Goal Qty</x:v>
      </x:c>
      <x:c r="F4" s="32" t="str">
        <x:v>Owned/Ordered</x:v>
      </x:c>
      <x:c r="G4" s="32" t="str">
        <x:v>Need</x:v>
      </x:c>
      <x:c r="H4" s="32" t="str">
        <x:v>MSRP Budget</x:v>
      </x:c>
    </x:row>
    <x:row r="5">
      <x:c r="A5" s="30" t="str">
        <x:v>Planned MSRP Spend</x:v>
      </x:c>
      <x:c r="B5" s="36" t="n">
        <x:f>SUM('30th Products'!G2:G18)+H12</x:f>
        <x:v>1703.1100000000001</x:v>
      </x:c>
      <x:c r="C5" s="31"/>
      <x:c r="D5" s="31" t="str">
        <x:v>Pokémon Center ETB</x:v>
      </x:c>
      <x:c r="E5" s="31" t="n">
        <x:v>4</x:v>
      </x:c>
      <x:c r="F5" s="31" t="n">
        <x:f>SUMIF('Acquisition Tracker'!B:B,"*Pokemon Center ETB*",'Acquisition Tracker'!D:D)</x:f>
        <x:v>0</x:v>
      </x:c>
      <x:c r="G5" s="31" t="n">
        <x:f>E5-F5</x:f>
        <x:v>4</x:v>
      </x:c>
      <x:c r="H5" s="36" t="n">
        <x:f>'30th Products'!G2</x:f>
        <x:v>239.96</x:v>
      </x:c>
    </x:row>
    <x:row r="6">
      <x:c r="A6" s="30" t="str">
        <x:v>Actual Spend</x:v>
      </x:c>
      <x:c r="B6" s="36" t="n">
        <x:f>SUM('Acquisition Tracker'!G2:G250)</x:f>
        <x:v>0</x:v>
      </x:c>
      <x:c r="C6" s="31"/>
      <x:c r="D6" s="31" t="str">
        <x:v>Ultra Premium Collection</x:v>
      </x:c>
      <x:c r="E6" s="31" t="n">
        <x:v>2</x:v>
      </x:c>
      <x:c r="F6" s="31" t="n">
        <x:f>SUMIF('Acquisition Tracker'!B:B,"*Ultra-Premium*",'Acquisition Tracker'!D:D)</x:f>
        <x:v>0</x:v>
      </x:c>
      <x:c r="G6" s="31" t="n">
        <x:f>E6-F6</x:f>
        <x:v>2</x:v>
      </x:c>
      <x:c r="H6" s="36" t="n">
        <x:f>'30th Products'!G13+'30th Products'!G14</x:f>
        <x:v>359.98</x:v>
      </x:c>
    </x:row>
    <x:row r="7">
      <x:c r="A7" s="30" t="str">
        <x:v>Remaining Budget</x:v>
      </x:c>
      <x:c r="B7" s="36" t="n">
        <x:f>B4-B6</x:f>
        <x:v>2000</x:v>
      </x:c>
      <x:c r="C7" s="31"/>
      <x:c r="D7" s="31" t="str">
        <x:v>Booster Bundle</x:v>
      </x:c>
      <x:c r="E7" s="31" t="n">
        <x:v>12</x:v>
      </x:c>
      <x:c r="F7" s="31" t="n">
        <x:f>SUMIF('Acquisition Tracker'!B:B,"*Booster Bundle*",'Acquisition Tracker'!D:D)</x:f>
        <x:v>0</x:v>
      </x:c>
      <x:c r="G7" s="31" t="n">
        <x:f>E7-F7</x:f>
        <x:v>12</x:v>
      </x:c>
      <x:c r="H7" s="36" t="n">
        <x:f>'30th Products'!G8</x:f>
        <x:v>323.28000000000003</x:v>
      </x:c>
    </x:row>
    <x:row r="8">
      <x:c r="A8" s="30" t="str">
        <x:v>Market Est. Value</x:v>
      </x:c>
      <x:c r="B8" s="36" t="n">
        <x:f>SUM('Acquisition Tracker'!K2:K250)</x:f>
        <x:v>0</x:v>
      </x:c>
      <x:c r="C8" s="31"/>
      <x:c r="D8" s="31" t="str">
        <x:v>Regular ETB</x:v>
      </x:c>
      <x:c r="E8" s="31" t="n">
        <x:v>2</x:v>
      </x:c>
      <x:c r="F8" s="31" t="n">
        <x:f>SUMIF('Acquisition Tracker'!B:B,"30th Celebration Elite Trainer Box",'Acquisition Tracker'!D:D)</x:f>
        <x:v>0</x:v>
      </x:c>
      <x:c r="G8" s="31" t="n">
        <x:f>E8-F8</x:f>
        <x:v>2</x:v>
      </x:c>
      <x:c r="H8" s="36" t="n">
        <x:f>'30th Products'!G3</x:f>
        <x:v>99.98</x:v>
      </x:c>
    </x:row>
    <x:row r="9">
      <x:c r="A9" s="30" t="str">
        <x:v>Unrealized Gain/Loss</x:v>
      </x:c>
      <x:c r="B9" s="36" t="n">
        <x:f>B8-B6</x:f>
        <x:v>0</x:v>
      </x:c>
      <x:c r="C9" s="31"/>
      <x:c r="D9" s="31" t="str">
        <x:v>Mew/Mewtwo Figure Collections</x:v>
      </x:c>
      <x:c r="E9" s="31" t="n">
        <x:v>2</x:v>
      </x:c>
      <x:c r="F9" s="31" t="n">
        <x:f>SUMIF('Acquisition Tracker'!B:B,"*Figure Collection*",'Acquisition Tracker'!D:D)</x:f>
        <x:v>0</x:v>
      </x:c>
      <x:c r="G9" s="31" t="n">
        <x:f>E9-F9</x:f>
        <x:v>2</x:v>
      </x:c>
      <x:c r="H9" s="36" t="n">
        <x:f>'30th Products'!G16+'30th Products'!G17</x:f>
        <x:v>59.98</x:v>
      </x:c>
    </x:row>
    <x:row r="10">
      <x:c r="A10" s="30" t="str">
        <x:v>Avg % Over MSRP</x:v>
      </x:c>
      <x:c r="B10" s="38" t="n">
        <x:f>IFERROR(SUM('Acquisition Tracker'!I2:I250)/COUNTIF('Acquisition Tracker'!I2:I250,"&lt;&gt;"),0)</x:f>
        <x:v>0</x:v>
      </x:c>
      <x:c r="C10" s="31"/>
      <x:c r="D10" s="31" t="str">
        <x:v>Poster Collection</x:v>
      </x:c>
      <x:c r="E10" s="31" t="n">
        <x:v>1</x:v>
      </x:c>
      <x:c r="F10" s="31" t="n">
        <x:f>SUMIF('Acquisition Tracker'!B:B,"*Poster Collection*",'Acquisition Tracker'!D:D)</x:f>
        <x:v>0</x:v>
      </x:c>
      <x:c r="G10" s="31" t="n">
        <x:f>E10-F10</x:f>
        <x:v>1</x:v>
      </x:c>
      <x:c r="H10" s="36" t="n">
        <x:f>'30th Products'!G4</x:f>
        <x:v>19.99</x:v>
      </x:c>
    </x:row>
    <x:row r="11">
      <x:c r="A11" s="30" t="str">
        <x:v>Priority Products Owned</x:v>
      </x:c>
      <x:c r="B11" s="31" t="n">
        <x:f>COUNTIFS('Acquisition Tracker'!D2:D250,"&gt;0",'Acquisition Tracker'!N2:N250,"Buy/Ordered")</x:f>
        <x:v>0</x:v>
      </x:c>
      <x:c r="C11" s="31"/>
      <x:c r="D11" s="31" t="str">
        <x:v>Binder Collection</x:v>
      </x:c>
      <x:c r="E11" s="31" t="n">
        <x:v>1</x:v>
      </x:c>
      <x:c r="F11" s="31" t="n">
        <x:f>SUMIF('Acquisition Tracker'!B:B,"*Binder Collection*",'Acquisition Tracker'!D:D)</x:f>
        <x:v>0</x:v>
      </x:c>
      <x:c r="G11" s="31" t="n">
        <x:f>E11-F11</x:f>
        <x:v>1</x:v>
      </x:c>
      <x:c r="H11" s="36" t="n">
        <x:f>'30th Products'!G9</x:f>
        <x:v>31.99</x:v>
      </x:c>
    </x:row>
    <x:row r="12">
      <x:c r="A12" s="30" t="str">
        <x:v>Last Updated</x:v>
      </x:c>
      <x:c r="B12" s="40" t="n">
        <x:v>46205</x:v>
      </x:c>
      <x:c r="C12" s="31"/>
      <x:c r="D12" s="31" t="str">
        <x:v>Cash Reserve</x:v>
      </x:c>
      <x:c r="E12" s="31" t="n">
        <x:v>1</x:v>
      </x:c>
      <x:c r="F12" s="31" t="n">
        <x:v>0</x:v>
      </x:c>
      <x:c r="G12" s="31" t="n">
        <x:v>1</x:v>
      </x:c>
      <x:c r="H12" s="36" t="n">
        <x:v>440</x:v>
      </x:c>
    </x:row>
    <x:row r="15">
      <x:c r="A15" s="44" t="str">
        <x:v>Decision Rule: MSRP is the win. Pay premium only for PC ETB, UPC, Booster Bundles, or truly scarce chase products.</x:v>
      </x:c>
      <x:c r="B15" s="44"/>
      <x:c r="C15" s="44"/>
      <x:c r="D15" s="44"/>
      <x:c r="E15" s="44"/>
      <x:c r="F15" s="44"/>
      <x:c r="G15" s="44"/>
      <x:c r="H15" s="44"/>
    </x:row>
  </x:sheetData>
  <x:mergeCells>
    <x:mergeCell ref="A1:H1"/>
    <x:mergeCell ref="A2:H2"/>
    <x:mergeCell ref="A15:H15"/>
  </x:mergeCells>
  <x:pageMargins left="0.7" right="0.7" top="0.75" bottom="0.75" header="0.3" footer="0.3"/>
  <x:drawing xmlns:r="http://schemas.openxmlformats.org/officeDocument/2006/relationships" r:id="Ra825dc03d11b429e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2" hidden="0" customWidth="1"/>
    <x:col min="4" max="4" width="8" hidden="0" customWidth="1"/>
    <x:col min="5" max="5" width="9" hidden="0" customWidth="1"/>
    <x:col min="6" max="6" width="10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48" hidden="0" customWidth="1"/>
    <x:col min="13" max="13" width="60" hidden="0" customWidth="1"/>
  </x:cols>
  <x:sheetData>
    <x:row r="1">
      <x:c r="A1" s="32" t="str">
        <x:v>Release Date</x:v>
      </x:c>
      <x:c r="B1" s="32" t="str">
        <x:v>Product</x:v>
      </x:c>
      <x:c r="C1" s="32" t="str">
        <x:v>MSRP</x:v>
      </x:c>
      <x:c r="D1" s="32" t="str">
        <x:v>Packs</x:v>
      </x:c>
      <x:c r="E1" s="32" t="str">
        <x:v>Priority</x:v>
      </x:c>
      <x:c r="F1" s="32" t="str">
        <x:v>Goal Qty</x:v>
      </x:c>
      <x:c r="G1" s="32" t="str">
        <x:v>MSRP Budget</x:v>
      </x:c>
      <x:c r="H1" s="32" t="str">
        <x:v>Buy Under</x:v>
      </x:c>
      <x:c r="I1" s="32" t="str">
        <x:v>Fair Cap</x:v>
      </x:c>
      <x:c r="J1" s="32" t="str">
        <x:v>Pass Above</x:v>
      </x:c>
      <x:c r="K1" s="32" t="str">
        <x:v>Pack MSRP</x:v>
      </x:c>
      <x:c r="L1" s="32" t="str">
        <x:v>Thesis / Notes</x:v>
      </x:c>
      <x:c r="M1" s="32" t="str">
        <x:v>Source URL</x:v>
      </x:c>
    </x:row>
    <x:row r="2">
      <x:c r="A2" s="48" t="n">
        <x:v>46281</x:v>
      </x:c>
      <x:c r="B2" t="str">
        <x:v>30th Celebration Pokemon Center ETB</x:v>
      </x:c>
      <x:c r="C2" s="50" t="n">
        <x:v>59.99</x:v>
      </x:c>
      <x:c r="D2" t="n">
        <x:v>11</x:v>
      </x:c>
      <x:c r="E2" t="str">
        <x:v>S</x:v>
      </x:c>
      <x:c r="F2" t="n">
        <x:v>4</x:v>
      </x:c>
      <x:c r="G2" s="50" t="n">
        <x:f>C2*F2</x:f>
        <x:v>239.96</x:v>
      </x:c>
      <x:c r="H2" s="50" t="n">
        <x:v>90</x:v>
      </x:c>
      <x:c r="I2" s="50" t="n">
        <x:v>110</x:v>
      </x:c>
      <x:c r="J2" s="50" t="n">
        <x:v>130</x:v>
      </x:c>
      <x:c r="K2" s="50" t="n">
        <x:f>IF(D2&gt;0,C2/D2,"")</x:f>
        <x:v>5.453636363636364</x:v>
      </x:c>
      <x:c r="L2" s="31" t="str">
        <x:v>Top priority: PC exclusivity, stamped promo, compact sealed hold.</x:v>
      </x:c>
      <x:c r="M2" s="31" t="str">
        <x:v>https://www.pokemon.com/us/news/pokemon-tcg-30th-celebration-product-showcase</x:v>
      </x:c>
    </x:row>
    <x:row r="3">
      <x:c r="A3" s="48" t="n">
        <x:v>46281</x:v>
      </x:c>
      <x:c r="B3" t="str">
        <x:v>30th Celebration Elite Trainer Box</x:v>
      </x:c>
      <x:c r="C3" s="50" t="n">
        <x:v>49.99</x:v>
      </x:c>
      <x:c r="D3" t="n">
        <x:v>9</x:v>
      </x:c>
      <x:c r="E3" t="str">
        <x:v>A</x:v>
      </x:c>
      <x:c r="F3" t="n">
        <x:v>2</x:v>
      </x:c>
      <x:c r="G3" s="50" t="n">
        <x:f>C3*F3</x:f>
        <x:v>99.98</x:v>
      </x:c>
      <x:c r="H3" s="50" t="n">
        <x:v>70</x:v>
      </x:c>
      <x:c r="I3" s="50" t="n">
        <x:v>80</x:v>
      </x:c>
      <x:c r="J3" s="50" t="n">
        <x:v>95</x:v>
      </x:c>
      <x:c r="K3" s="50" t="n">
        <x:f>IF(D3&gt;0,C3/D3,"")</x:f>
        <x:v>5.554444444444445</x:v>
      </x:c>
      <x:c r="L3" s="31" t="str">
        <x:v>Strong fallback if PC ETB sells out. Nidorina promo is a thematic differentiator.</x:v>
      </x:c>
      <x:c r="M3" s="31" t="str">
        <x:v>https://www.pokemon.com/us/news/pokemon-tcg-30th-celebration-product-showcase</x:v>
      </x:c>
    </x:row>
    <x:row r="4">
      <x:c r="A4" s="48" t="n">
        <x:v>46281</x:v>
      </x:c>
      <x:c r="B4" t="str">
        <x:v>30th Celebration Poster Collection</x:v>
      </x:c>
      <x:c r="C4" s="50" t="n">
        <x:v>19.99</x:v>
      </x:c>
      <x:c r="D4" t="n">
        <x:v>3</x:v>
      </x:c>
      <x:c r="E4" t="str">
        <x:v>B</x:v>
      </x:c>
      <x:c r="F4" t="n">
        <x:v>1</x:v>
      </x:c>
      <x:c r="G4" s="50" t="n">
        <x:f>C4*F4</x:f>
        <x:v>19.99</x:v>
      </x:c>
      <x:c r="H4" s="50" t="n">
        <x:v>25</x:v>
      </x:c>
      <x:c r="I4" s="50" t="n">
        <x:v>30</x:v>
      </x:c>
      <x:c r="J4" s="50" t="n">
        <x:v>35</x:v>
      </x:c>
      <x:c r="K4" s="50" t="n">
        <x:f>IF(D4&gt;0,C4/D4,"")</x:f>
        <x:v>6.663333333333333</x:v>
      </x:c>
      <x:c r="L4" s="31" t="str">
        <x:v>Cool legendary bird promos; lower storage efficiency.</x:v>
      </x:c>
      <x:c r="M4" s="31" t="str">
        <x:v>https://www.pokemon.com/us/news/pokemon-tcg-30th-celebration-product-showcase</x:v>
      </x:c>
    </x:row>
    <x:row r="5">
      <x:c r="A5" s="48" t="n">
        <x:v>46281</x:v>
      </x:c>
      <x:c r="B5" t="str">
        <x:v>30th Celebration Tech Sticker Collection</x:v>
      </x:c>
      <x:c r="C5" s="50" t="n">
        <x:v>14.99</x:v>
      </x:c>
      <x:c r="D5" t="n">
        <x:v>3</x:v>
      </x:c>
      <x:c r="E5" t="str">
        <x:v>C</x:v>
      </x:c>
      <x:c r="F5" t="n">
        <x:v>0</x:v>
      </x:c>
      <x:c r="G5" s="50" t="n">
        <x:f>C5*F5</x:f>
        <x:v>0</x:v>
      </x:c>
      <x:c r="H5" s="50" t="n">
        <x:v>18</x:v>
      </x:c>
      <x:c r="I5" s="50" t="n">
        <x:v>22</x:v>
      </x:c>
      <x:c r="J5" s="50" t="n">
        <x:v>25</x:v>
      </x:c>
      <x:c r="K5" s="50" t="n">
        <x:f>IF(D5&gt;0,C5/D5,"")</x:f>
        <x:v>4.996666666666667</x:v>
      </x:c>
      <x:c r="L5" s="31" t="str">
        <x:v>Cheap pack exposure, but weaker sealed-display thesis.</x:v>
      </x:c>
      <x:c r="M5" s="31" t="str">
        <x:v>https://www.pokebeach.com/2026/06/30th-celebration-full-english-product-lineup-revealed</x:v>
      </x:c>
    </x:row>
    <x:row r="6">
      <x:c r="A6" s="48" t="n">
        <x:v>46281</x:v>
      </x:c>
      <x:c r="B6" t="str">
        <x:v>30th Celebration Knock Out Collection</x:v>
      </x:c>
      <x:c r="C6" s="50" t="n">
        <x:v>9.99</x:v>
      </x:c>
      <x:c r="D6" t="n">
        <x:v>2</x:v>
      </x:c>
      <x:c r="E6" t="str">
        <x:v>C</x:v>
      </x:c>
      <x:c r="F6" t="n">
        <x:v>0</x:v>
      </x:c>
      <x:c r="G6" s="50" t="n">
        <x:f>C6*F6</x:f>
        <x:v>0</x:v>
      </x:c>
      <x:c r="H6" s="50" t="n">
        <x:v>12</x:v>
      </x:c>
      <x:c r="I6" s="50" t="n">
        <x:v>15</x:v>
      </x:c>
      <x:c r="J6" s="50" t="n">
        <x:v>18</x:v>
      </x:c>
      <x:c r="K6" s="50" t="n">
        <x:f>IF(D6&gt;0,C6/D6,"")</x:f>
        <x:v>4.995</x:v>
      </x:c>
      <x:c r="L6" s="31" t="str">
        <x:v>MSRP-only. Usually not a premium long-term sealed vehicle.</x:v>
      </x:c>
      <x:c r="M6" s="31" t="str">
        <x:v>https://www.pokebeach.com/2026/06/30th-celebration-full-english-product-lineup-revealed</x:v>
      </x:c>
    </x:row>
    <x:row r="7">
      <x:c r="A7" s="48" t="n">
        <x:v>46281</x:v>
      </x:c>
      <x:c r="B7" t="str">
        <x:v>30th Celebration Pokemon ex Box - Sylveon/Greninja</x:v>
      </x:c>
      <x:c r="C7" s="50" t="n">
        <x:v>21.99</x:v>
      </x:c>
      <x:c r="D7" t="n">
        <x:v>4</x:v>
      </x:c>
      <x:c r="E7" t="str">
        <x:v>B</x:v>
      </x:c>
      <x:c r="F7" t="n">
        <x:v>2</x:v>
      </x:c>
      <x:c r="G7" s="50" t="n">
        <x:f>C7*F7</x:f>
        <x:v>43.98</x:v>
      </x:c>
      <x:c r="H7" s="50" t="n">
        <x:v>28</x:v>
      </x:c>
      <x:c r="I7" s="50" t="n">
        <x:v>33</x:v>
      </x:c>
      <x:c r="J7" s="50" t="n">
        <x:v>40</x:v>
      </x:c>
      <x:c r="K7" s="50" t="n">
        <x:f>IF(D7&gt;0,C7/D7,"")</x:f>
        <x:v>5.4975</x:v>
      </x:c>
      <x:c r="L7" s="31" t="str">
        <x:v>Sylveon/Greninja are popular enough for moderate upside.</x:v>
      </x:c>
      <x:c r="M7" s="31" t="str">
        <x:v>https://www.pokebeach.com/2026/06/30th-celebration-full-english-product-lineup-revealed</x:v>
      </x:c>
    </x:row>
    <x:row r="8">
      <x:c r="A8" s="48" t="n">
        <x:v>46297</x:v>
      </x:c>
      <x:c r="B8" t="str">
        <x:v>30th Celebration Booster Bundle</x:v>
      </x:c>
      <x:c r="C8" s="50" t="n">
        <x:v>26.94</x:v>
      </x:c>
      <x:c r="D8" t="n">
        <x:v>6</x:v>
      </x:c>
      <x:c r="E8" t="str">
        <x:v>S</x:v>
      </x:c>
      <x:c r="F8" t="n">
        <x:v>12</x:v>
      </x:c>
      <x:c r="G8" s="50" t="n">
        <x:f>C8*F8</x:f>
        <x:v>323.28000000000003</x:v>
      </x:c>
      <x:c r="H8" s="50" t="n">
        <x:v>40</x:v>
      </x:c>
      <x:c r="I8" s="50" t="n">
        <x:v>50</x:v>
      </x:c>
      <x:c r="J8" s="50" t="n">
        <x:v>60</x:v>
      </x:c>
      <x:c r="K8" s="50" t="n">
        <x:f>IF(D8&gt;0,C8/D8,"")</x:f>
        <x:v>4.49</x:v>
      </x:c>
      <x:c r="L8" s="31" t="str">
        <x:v>Pure pack exposure; easiest to store; great MSRP target.</x:v>
      </x:c>
      <x:c r="M8" s="31" t="str">
        <x:v>https://www.pokebeach.com/2026/06/30th-celebration-full-english-product-lineup-revealed</x:v>
      </x:c>
    </x:row>
    <x:row r="9">
      <x:c r="A9" s="48" t="n">
        <x:v>46297</x:v>
      </x:c>
      <x:c r="B9" t="str">
        <x:v>30th Celebration Binder Collection</x:v>
      </x:c>
      <x:c r="C9" s="50" t="n">
        <x:v>31.99</x:v>
      </x:c>
      <x:c r="D9" t="n">
        <x:v>4</x:v>
      </x:c>
      <x:c r="E9" t="str">
        <x:v>B</x:v>
      </x:c>
      <x:c r="F9" t="n">
        <x:v>1</x:v>
      </x:c>
      <x:c r="G9" s="50" t="n">
        <x:f>C9*F9</x:f>
        <x:v>31.99</x:v>
      </x:c>
      <x:c r="H9" s="50" t="n">
        <x:v>40</x:v>
      </x:c>
      <x:c r="I9" s="50" t="n">
        <x:v>45</x:v>
      </x:c>
      <x:c r="J9" s="50" t="n">
        <x:v>55</x:v>
      </x:c>
      <x:c r="K9" s="50" t="n">
        <x:f>IF(D9&gt;0,C9/D9,"")</x:f>
        <x:v>7.9975</x:v>
      </x:c>
      <x:c r="L9" s="31" t="str">
        <x:v>Nice collector product; buy at MSRP but not worth chasing hard.</x:v>
      </x:c>
      <x:c r="M9" s="31" t="str">
        <x:v>https://www.pokebeach.com/2026/06/30th-celebration-full-english-product-lineup-revealed</x:v>
      </x:c>
    </x:row>
    <x:row r="10">
      <x:c r="A10" s="48" t="n">
        <x:v>46297</x:v>
      </x:c>
      <x:c r="B10" t="str">
        <x:v>30th Celebration Mini Tin</x:v>
      </x:c>
      <x:c r="C10" s="50" t="n">
        <x:v>9.99</x:v>
      </x:c>
      <x:c r="D10" t="n">
        <x:v>2</x:v>
      </x:c>
      <x:c r="E10" t="str">
        <x:v>C</x:v>
      </x:c>
      <x:c r="F10" t="n">
        <x:v>0</x:v>
      </x:c>
      <x:c r="G10" s="50" t="n">
        <x:f>C10*F10</x:f>
        <x:v>0</x:v>
      </x:c>
      <x:c r="H10" s="50" t="n">
        <x:v>12</x:v>
      </x:c>
      <x:c r="I10" s="50" t="n">
        <x:v>15</x:v>
      </x:c>
      <x:c r="J10" s="50" t="n">
        <x:v>18</x:v>
      </x:c>
      <x:c r="K10" s="50" t="n">
        <x:f>IF(D10&gt;0,C10/D10,"")</x:f>
        <x:v>4.995</x:v>
      </x:c>
      <x:c r="L10" s="31" t="str">
        <x:v>Fun set completion item; not a priority investment product.</x:v>
      </x:c>
      <x:c r="M10" s="31" t="str">
        <x:v>https://www.pokebeach.com/2026/06/30th-celebration-full-english-product-lineup-revealed</x:v>
      </x:c>
    </x:row>
    <x:row r="11">
      <x:c r="A11" s="48" t="n">
        <x:v>46325</x:v>
      </x:c>
      <x:c r="B11" t="str">
        <x:v>30th Celebration Battle Deck - Espeon ex</x:v>
      </x:c>
      <x:c r="C11" s="50" t="n">
        <x:v>19.99</x:v>
      </x:c>
      <x:c r="D11" t="n">
        <x:v>0</x:v>
      </x:c>
      <x:c r="E11" t="str">
        <x:v>C</x:v>
      </x:c>
      <x:c r="F11" t="n">
        <x:v>0</x:v>
      </x:c>
      <x:c r="G11" s="50" t="n">
        <x:f>C11*F11</x:f>
        <x:v>0</x:v>
      </x:c>
      <x:c r="H11" s="50" t="n">
        <x:v>25</x:v>
      </x:c>
      <x:c r="I11" s="50" t="n">
        <x:v>30</x:v>
      </x:c>
      <x:c r="J11" s="50" t="n">
        <x:v>35</x:v>
      </x:c>
      <x:c r="K11" s="50" t="str">
        <x:f>IF(D11&gt;0,C11/D11,"")</x:f>
      </x:c>
      <x:c r="L11" s="31" t="str">
        <x:v>Deck product; buy only if MSRP and personal display interest.</x:v>
      </x:c>
      <x:c r="M11" s="31" t="str">
        <x:v>https://www.pokebeach.com/2026/06/30th-celebration-full-english-product-lineup-revealed</x:v>
      </x:c>
    </x:row>
    <x:row r="12">
      <x:c r="A12" s="48" t="n">
        <x:v>46325</x:v>
      </x:c>
      <x:c r="B12" t="str">
        <x:v>30th Celebration Battle Deck - Umbreon ex</x:v>
      </x:c>
      <x:c r="C12" s="50" t="n">
        <x:v>19.99</x:v>
      </x:c>
      <x:c r="D12" t="n">
        <x:v>0</x:v>
      </x:c>
      <x:c r="E12" t="str">
        <x:v>C</x:v>
      </x:c>
      <x:c r="F12" t="n">
        <x:v>0</x:v>
      </x:c>
      <x:c r="G12" s="50" t="n">
        <x:f>C12*F12</x:f>
        <x:v>0</x:v>
      </x:c>
      <x:c r="H12" s="50" t="n">
        <x:v>25</x:v>
      </x:c>
      <x:c r="I12" s="50" t="n">
        <x:v>30</x:v>
      </x:c>
      <x:c r="J12" s="50" t="n">
        <x:v>35</x:v>
      </x:c>
      <x:c r="K12" s="50" t="str">
        <x:f>IF(D12&gt;0,C12/D12,"")</x:f>
      </x:c>
      <x:c r="L12" s="31" t="str">
        <x:v>Umbreon is strong, but battle decks are lower-confidence holds.</x:v>
      </x:c>
      <x:c r="M12" s="31" t="str">
        <x:v>https://www.pokebeach.com/2026/06/30th-celebration-full-english-product-lineup-revealed</x:v>
      </x:c>
    </x:row>
    <x:row r="13">
      <x:c r="A13" s="48" t="n">
        <x:v>46339</x:v>
      </x:c>
      <x:c r="B13" t="str">
        <x:v>30th Celebration Ultra-Premium Collection - Espeon</x:v>
      </x:c>
      <x:c r="C13" s="50" t="n">
        <x:v>179.99</x:v>
      </x:c>
      <x:c r="D13" t="n">
        <x:v>29</x:v>
      </x:c>
      <x:c r="E13" t="str">
        <x:v>S</x:v>
      </x:c>
      <x:c r="F13" t="n">
        <x:v>1</x:v>
      </x:c>
      <x:c r="G13" s="50" t="n">
        <x:f>C13*F13</x:f>
        <x:v>179.99</x:v>
      </x:c>
      <x:c r="H13" s="50" t="n">
        <x:v>230</x:v>
      </x:c>
      <x:c r="I13" s="50" t="n">
        <x:v>260</x:v>
      </x:c>
      <x:c r="J13" s="50" t="n">
        <x:v>300</x:v>
      </x:c>
      <x:c r="K13" s="50" t="n">
        <x:f>IF(D13&gt;0,C13/D13,"")</x:f>
        <x:v>6.206551724137931</x:v>
      </x:c>
      <x:c r="L13" s="31" t="str">
        <x:v>Premium anniversary product; major long-term sealed candidate.</x:v>
      </x:c>
      <x:c r="M13" s="31" t="str">
        <x:v>https://www.pokebeach.com/2026/06/30th-celebration-full-english-product-lineup-revealed</x:v>
      </x:c>
    </x:row>
    <x:row r="14">
      <x:c r="A14" s="48" t="n">
        <x:v>46339</x:v>
      </x:c>
      <x:c r="B14" t="str">
        <x:v>30th Celebration Ultra-Premium Collection - Umbreon</x:v>
      </x:c>
      <x:c r="C14" s="50" t="n">
        <x:v>179.99</x:v>
      </x:c>
      <x:c r="D14" t="n">
        <x:v>29</x:v>
      </x:c>
      <x:c r="E14" t="str">
        <x:v>S</x:v>
      </x:c>
      <x:c r="F14" t="n">
        <x:v>1</x:v>
      </x:c>
      <x:c r="G14" s="50" t="n">
        <x:f>C14*F14</x:f>
        <x:v>179.99</x:v>
      </x:c>
      <x:c r="H14" s="50" t="n">
        <x:v>230</x:v>
      </x:c>
      <x:c r="I14" s="50" t="n">
        <x:v>260</x:v>
      </x:c>
      <x:c r="J14" s="50" t="n">
        <x:v>300</x:v>
      </x:c>
      <x:c r="K14" s="50" t="n">
        <x:f>IF(D14&gt;0,C14/D14,"")</x:f>
        <x:v>6.206551724137931</x:v>
      </x:c>
      <x:c r="L14" s="31" t="str">
        <x:v>Umbreon theme likely makes this the stronger UPC variant.</x:v>
      </x:c>
      <x:c r="M14" s="31" t="str">
        <x:v>https://www.pokebeach.com/2026/06/30th-celebration-full-english-product-lineup-revealed</x:v>
      </x:c>
    </x:row>
    <x:row r="15">
      <x:c r="A15" s="48" t="n">
        <x:v>46339</x:v>
      </x:c>
      <x:c r="B15" t="str">
        <x:v>30th Celebration Ditto Premium Collection</x:v>
      </x:c>
      <x:c r="C15" s="50" t="n">
        <x:v>39.99</x:v>
      </x:c>
      <x:c r="D15" t="n">
        <x:v>6</x:v>
      </x:c>
      <x:c r="E15" t="str">
        <x:v>B</x:v>
      </x:c>
      <x:c r="F15" t="n">
        <x:v>1</x:v>
      </x:c>
      <x:c r="G15" s="50" t="n">
        <x:f>C15*F15</x:f>
        <x:v>39.99</x:v>
      </x:c>
      <x:c r="H15" s="50" t="n">
        <x:v>55</x:v>
      </x:c>
      <x:c r="I15" s="50" t="n">
        <x:v>65</x:v>
      </x:c>
      <x:c r="J15" s="50" t="n">
        <x:v>80</x:v>
      </x:c>
      <x:c r="K15" s="50" t="n">
        <x:f>IF(D15&gt;0,C15/D15,"")</x:f>
        <x:v>6.665</x:v>
      </x:c>
      <x:c r="L15" s="31" t="str">
        <x:v>Novelty/promo appeal, but not above PC ETB/UPC/booster bundles.</x:v>
      </x:c>
      <x:c r="M15" s="31" t="str">
        <x:v>https://www.pokebeach.com/2026/06/30th-celebration-full-english-product-lineup-revealed</x:v>
      </x:c>
    </x:row>
    <x:row r="16">
      <x:c r="A16" s="48" t="n">
        <x:v>46360</x:v>
      </x:c>
      <x:c r="B16" t="str">
        <x:v>30th Celebration Mew Figure Collection</x:v>
      </x:c>
      <x:c r="C16" s="50" t="n">
        <x:v>29.99</x:v>
      </x:c>
      <x:c r="D16" t="n">
        <x:v>5</x:v>
      </x:c>
      <x:c r="E16" t="str">
        <x:v>A</x:v>
      </x:c>
      <x:c r="F16" t="n">
        <x:v>1</x:v>
      </x:c>
      <x:c r="G16" s="50" t="n">
        <x:f>C16*F16</x:f>
        <x:v>29.99</x:v>
      </x:c>
      <x:c r="H16" s="50" t="n">
        <x:v>45</x:v>
      </x:c>
      <x:c r="I16" s="50" t="n">
        <x:v>55</x:v>
      </x:c>
      <x:c r="J16" s="50" t="n">
        <x:v>70</x:v>
      </x:c>
      <x:c r="K16" s="50" t="n">
        <x:f>IF(D16&gt;0,C16/D16,"")</x:f>
        <x:v>5.997999999999999</x:v>
      </x:c>
      <x:c r="L16" s="31" t="str">
        <x:v>Mew figure + packs; one of the better non-ETB/UPC products.</x:v>
      </x:c>
      <x:c r="M16" s="31" t="str">
        <x:v>https://www.pokebeach.com/2026/06/30th-celebration-full-english-product-lineup-revealed</x:v>
      </x:c>
    </x:row>
    <x:row r="17">
      <x:c r="A17" s="48" t="n">
        <x:v>46360</x:v>
      </x:c>
      <x:c r="B17" t="str">
        <x:v>30th Celebration Mewtwo Figure Collection</x:v>
      </x:c>
      <x:c r="C17" s="50" t="n">
        <x:v>29.99</x:v>
      </x:c>
      <x:c r="D17" t="n">
        <x:v>5</x:v>
      </x:c>
      <x:c r="E17" t="str">
        <x:v>A</x:v>
      </x:c>
      <x:c r="F17" t="n">
        <x:v>1</x:v>
      </x:c>
      <x:c r="G17" s="50" t="n">
        <x:f>C17*F17</x:f>
        <x:v>29.99</x:v>
      </x:c>
      <x:c r="H17" s="50" t="n">
        <x:v>45</x:v>
      </x:c>
      <x:c r="I17" s="50" t="n">
        <x:v>55</x:v>
      </x:c>
      <x:c r="J17" s="50" t="n">
        <x:v>70</x:v>
      </x:c>
      <x:c r="K17" s="50" t="n">
        <x:f>IF(D17&gt;0,C17/D17,"")</x:f>
        <x:v>5.997999999999999</x:v>
      </x:c>
      <x:c r="L17" s="31" t="str">
        <x:v>Mewtwo figure + packs; excellent collector appeal at MSRP.</x:v>
      </x:c>
      <x:c r="M17" s="31" t="str">
        <x:v>https://www.pokebeach.com/2026/06/30th-celebration-full-english-product-lineup-revealed</x:v>
      </x:c>
    </x:row>
    <x:row r="18">
      <x:c r="A18" s="48" t="n">
        <x:v>46360</x:v>
      </x:c>
      <x:c r="B18" t="str">
        <x:v>30th Celebration Pokemon ex Tin - Sylveon/Greninja</x:v>
      </x:c>
      <x:c r="C18" s="50" t="n">
        <x:v>21.99</x:v>
      </x:c>
      <x:c r="D18" t="n">
        <x:v>4</x:v>
      </x:c>
      <x:c r="E18" t="str">
        <x:v>B</x:v>
      </x:c>
      <x:c r="F18" t="n">
        <x:v>2</x:v>
      </x:c>
      <x:c r="G18" s="50" t="n">
        <x:f>C18*F18</x:f>
        <x:v>43.98</x:v>
      </x:c>
      <x:c r="H18" s="50" t="n">
        <x:v>28</x:v>
      </x:c>
      <x:c r="I18" s="50" t="n">
        <x:v>33</x:v>
      </x:c>
      <x:c r="J18" s="50" t="n">
        <x:v>40</x:v>
      </x:c>
      <x:c r="K18" s="50" t="n">
        <x:f>IF(D18&gt;0,C18/D18,"")</x:f>
        <x:v>5.4975</x:v>
      </x:c>
      <x:c r="L18" s="31" t="str">
        <x:v>Good if MSRP; compact but tins can be dent-prone.</x:v>
      </x:c>
      <x:c r="M18" s="31" t="str">
        <x:v>https://www.pokebeach.com/2026/06/30th-celebration-full-english-product-lineup-revealed</x:v>
      </x:c>
    </x:row>
  </x:sheetData>
  <x:conditionalFormatting sqref="E2:E18">
    <x:cfRule type="expression" dxfId="0" priority="1">
      <x:formula>$E2="S"</x:formula>
    </x:cfRule>
    <x:cfRule type="expression" dxfId="1" priority="2">
      <x:formula>$E2="A"</x:formula>
    </x:cfRule>
    <x:cfRule type="expression" dxfId="2" priority="3">
      <x:formula>$E2="C"</x:formula>
    </x:cfRule>
  </x:conditionalFormatting>
  <x:dataValidations count="1">
    <x:dataValidation type="list" sqref="E2:E50">
      <x:formula1>"S,A,B,C"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d095c118d34a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0" hidden="0" customWidth="1"/>
    <x:col min="4" max="4" width="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9" hidden="0" customWidth="1"/>
    <x:col min="14" max="14" width="14" hidden="0" customWidth="1"/>
    <x:col min="15" max="15" width="40" hidden="0" customWidth="1"/>
  </x:cols>
  <x:sheetData>
    <x:row r="1">
      <x:c r="A1" s="32" t="str">
        <x:v>Date</x:v>
      </x:c>
      <x:c r="B1" s="32" t="str">
        <x:v>Product</x:v>
      </x:c>
      <x:c r="C1" s="32" t="str">
        <x:v>Retailer</x:v>
      </x:c>
      <x:c r="D1" s="32" t="str">
        <x:v>Qty</x:v>
      </x:c>
      <x:c r="E1" s="32" t="str">
        <x:v>Unit Price</x:v>
      </x:c>
      <x:c r="F1" s="32" t="str">
        <x:v>Tax/Ship</x:v>
      </x:c>
      <x:c r="G1" s="32" t="str">
        <x:v>Total Cost</x:v>
      </x:c>
      <x:c r="H1" s="32" t="str">
        <x:v>MSRP/unit</x:v>
      </x:c>
      <x:c r="I1" s="32" t="str">
        <x:v>% Over MSRP</x:v>
      </x:c>
      <x:c r="J1" s="32" t="str">
        <x:v>Market Est/unit</x:v>
      </x:c>
      <x:c r="K1" s="32" t="str">
        <x:v>Market Est Total</x:v>
      </x:c>
      <x:c r="L1" s="32" t="str">
        <x:v>Gain/Loss</x:v>
      </x:c>
      <x:c r="M1" s="32" t="str">
        <x:v>Priority</x:v>
      </x:c>
      <x:c r="N1" s="32" t="str">
        <x:v>Status</x:v>
      </x:c>
      <x:c r="O1" s="32" t="str">
        <x:v>Notes</x:v>
      </x:c>
    </x:row>
    <x:row r="2">
      <x:c r="A2" s="48"/>
      <x:c r="B2"/>
      <x:c r="C2"/>
      <x:c r="D2"/>
      <x:c r="E2" s="50"/>
      <x:c r="F2" s="50"/>
      <x:c r="G2" s="50" t="str">
        <x:f>IF(D2="","",D2*E2+F2)</x:f>
      </x:c>
      <x:c r="H2" s="50" t="str">
        <x:f>IFERROR(XLOOKUP(B2,'30th Products'!B:B,'30th Products'!C:C),"")</x:f>
      </x:c>
      <x:c r="I2" s="52" t="str">
        <x:f>IFERROR(E2/H2-1,"")</x:f>
      </x:c>
      <x:c r="J2" s="50"/>
      <x:c r="K2" s="50" t="str">
        <x:f>IF(D2="","",D2*J2)</x:f>
      </x:c>
      <x:c r="L2" s="50" t="str">
        <x:f>IF(K2="","",K2-G2)</x:f>
      </x:c>
      <x:c r="M2" t="str">
        <x:f>IFERROR(XLOOKUP(B2,'30th Products'!B:B,'30th Products'!E:E),"")</x:f>
      </x:c>
      <x:c r="N2"/>
      <x:c r="O2" s="31"/>
    </x:row>
    <x:row r="3">
      <x:c r="A3" s="48"/>
      <x:c r="B3"/>
      <x:c r="C3"/>
      <x:c r="D3"/>
      <x:c r="E3" s="50"/>
      <x:c r="F3" s="50"/>
      <x:c r="G3" s="50" t="str">
        <x:f>IF(D3="","",D3*E3+F3)</x:f>
      </x:c>
      <x:c r="H3" s="50" t="str">
        <x:f>IFERROR(XLOOKUP(B3,'30th Products'!B:B,'30th Products'!C:C),"")</x:f>
      </x:c>
      <x:c r="I3" s="52" t="str">
        <x:f>IFERROR(E3/H3-1,"")</x:f>
      </x:c>
      <x:c r="J3" s="50"/>
      <x:c r="K3" s="50" t="str">
        <x:f>IF(D3="","",D3*J3)</x:f>
      </x:c>
      <x:c r="L3" s="50" t="str">
        <x:f>IF(K3="","",K3-G3)</x:f>
      </x:c>
      <x:c r="M3" t="str">
        <x:f>IFERROR(XLOOKUP(B3,'30th Products'!B:B,'30th Products'!E:E),"")</x:f>
      </x:c>
      <x:c r="N3"/>
      <x:c r="O3" s="31"/>
    </x:row>
    <x:row r="4">
      <x:c r="A4" s="48"/>
      <x:c r="B4"/>
      <x:c r="C4"/>
      <x:c r="D4"/>
      <x:c r="E4" s="50"/>
      <x:c r="F4" s="50"/>
      <x:c r="G4" s="50" t="str">
        <x:f>IF(D4="","",D4*E4+F4)</x:f>
      </x:c>
      <x:c r="H4" s="50" t="str">
        <x:f>IFERROR(XLOOKUP(B4,'30th Products'!B:B,'30th Products'!C:C),"")</x:f>
      </x:c>
      <x:c r="I4" s="52" t="str">
        <x:f>IFERROR(E4/H4-1,"")</x:f>
      </x:c>
      <x:c r="J4" s="50"/>
      <x:c r="K4" s="50" t="str">
        <x:f>IF(D4="","",D4*J4)</x:f>
      </x:c>
      <x:c r="L4" s="50" t="str">
        <x:f>IF(K4="","",K4-G4)</x:f>
      </x:c>
      <x:c r="M4" t="str">
        <x:f>IFERROR(XLOOKUP(B4,'30th Products'!B:B,'30th Products'!E:E),"")</x:f>
      </x:c>
      <x:c r="N4"/>
      <x:c r="O4" s="31"/>
    </x:row>
    <x:row r="5">
      <x:c r="A5" s="48"/>
      <x:c r="B5"/>
      <x:c r="C5"/>
      <x:c r="D5"/>
      <x:c r="E5" s="50"/>
      <x:c r="F5" s="50"/>
      <x:c r="G5" s="50" t="str">
        <x:f>IF(D5="","",D5*E5+F5)</x:f>
      </x:c>
      <x:c r="H5" s="50" t="str">
        <x:f>IFERROR(XLOOKUP(B5,'30th Products'!B:B,'30th Products'!C:C),"")</x:f>
      </x:c>
      <x:c r="I5" s="52" t="str">
        <x:f>IFERROR(E5/H5-1,"")</x:f>
      </x:c>
      <x:c r="J5" s="50"/>
      <x:c r="K5" s="50" t="str">
        <x:f>IF(D5="","",D5*J5)</x:f>
      </x:c>
      <x:c r="L5" s="50" t="str">
        <x:f>IF(K5="","",K5-G5)</x:f>
      </x:c>
      <x:c r="M5" t="str">
        <x:f>IFERROR(XLOOKUP(B5,'30th Products'!B:B,'30th Products'!E:E),"")</x:f>
      </x:c>
      <x:c r="N5"/>
      <x:c r="O5" s="31"/>
    </x:row>
    <x:row r="6">
      <x:c r="A6" s="48"/>
      <x:c r="B6"/>
      <x:c r="C6"/>
      <x:c r="D6"/>
      <x:c r="E6" s="50"/>
      <x:c r="F6" s="50"/>
      <x:c r="G6" s="50" t="str">
        <x:f>IF(D6="","",D6*E6+F6)</x:f>
      </x:c>
      <x:c r="H6" s="50" t="str">
        <x:f>IFERROR(XLOOKUP(B6,'30th Products'!B:B,'30th Products'!C:C),"")</x:f>
      </x:c>
      <x:c r="I6" s="52" t="str">
        <x:f>IFERROR(E6/H6-1,"")</x:f>
      </x:c>
      <x:c r="J6" s="50"/>
      <x:c r="K6" s="50" t="str">
        <x:f>IF(D6="","",D6*J6)</x:f>
      </x:c>
      <x:c r="L6" s="50" t="str">
        <x:f>IF(K6="","",K6-G6)</x:f>
      </x:c>
      <x:c r="M6" t="str">
        <x:f>IFERROR(XLOOKUP(B6,'30th Products'!B:B,'30th Products'!E:E),"")</x:f>
      </x:c>
      <x:c r="N6"/>
      <x:c r="O6" s="31"/>
    </x:row>
    <x:row r="7">
      <x:c r="A7" s="48"/>
      <x:c r="B7"/>
      <x:c r="C7"/>
      <x:c r="D7"/>
      <x:c r="E7" s="50"/>
      <x:c r="F7" s="50"/>
      <x:c r="G7" s="50" t="str">
        <x:f>IF(D7="","",D7*E7+F7)</x:f>
      </x:c>
      <x:c r="H7" s="50" t="str">
        <x:f>IFERROR(XLOOKUP(B7,'30th Products'!B:B,'30th Products'!C:C),"")</x:f>
      </x:c>
      <x:c r="I7" s="52" t="str">
        <x:f>IFERROR(E7/H7-1,"")</x:f>
      </x:c>
      <x:c r="J7" s="50"/>
      <x:c r="K7" s="50" t="str">
        <x:f>IF(D7="","",D7*J7)</x:f>
      </x:c>
      <x:c r="L7" s="50" t="str">
        <x:f>IF(K7="","",K7-G7)</x:f>
      </x:c>
      <x:c r="M7" t="str">
        <x:f>IFERROR(XLOOKUP(B7,'30th Products'!B:B,'30th Products'!E:E),"")</x:f>
      </x:c>
      <x:c r="N7"/>
      <x:c r="O7" s="31"/>
    </x:row>
    <x:row r="8">
      <x:c r="A8" s="48"/>
      <x:c r="B8"/>
      <x:c r="C8"/>
      <x:c r="D8"/>
      <x:c r="E8" s="50"/>
      <x:c r="F8" s="50"/>
      <x:c r="G8" s="50" t="str">
        <x:f>IF(D8="","",D8*E8+F8)</x:f>
      </x:c>
      <x:c r="H8" s="50" t="str">
        <x:f>IFERROR(XLOOKUP(B8,'30th Products'!B:B,'30th Products'!C:C),"")</x:f>
      </x:c>
      <x:c r="I8" s="52" t="str">
        <x:f>IFERROR(E8/H8-1,"")</x:f>
      </x:c>
      <x:c r="J8" s="50"/>
      <x:c r="K8" s="50" t="str">
        <x:f>IF(D8="","",D8*J8)</x:f>
      </x:c>
      <x:c r="L8" s="50" t="str">
        <x:f>IF(K8="","",K8-G8)</x:f>
      </x:c>
      <x:c r="M8" t="str">
        <x:f>IFERROR(XLOOKUP(B8,'30th Products'!B:B,'30th Products'!E:E),"")</x:f>
      </x:c>
      <x:c r="N8"/>
      <x:c r="O8" s="31"/>
    </x:row>
    <x:row r="9">
      <x:c r="A9" s="48"/>
      <x:c r="B9"/>
      <x:c r="C9"/>
      <x:c r="D9"/>
      <x:c r="E9" s="50"/>
      <x:c r="F9" s="50"/>
      <x:c r="G9" s="50" t="str">
        <x:f>IF(D9="","",D9*E9+F9)</x:f>
      </x:c>
      <x:c r="H9" s="50" t="str">
        <x:f>IFERROR(XLOOKUP(B9,'30th Products'!B:B,'30th Products'!C:C),"")</x:f>
      </x:c>
      <x:c r="I9" s="52" t="str">
        <x:f>IFERROR(E9/H9-1,"")</x:f>
      </x:c>
      <x:c r="J9" s="50"/>
      <x:c r="K9" s="50" t="str">
        <x:f>IF(D9="","",D9*J9)</x:f>
      </x:c>
      <x:c r="L9" s="50" t="str">
        <x:f>IF(K9="","",K9-G9)</x:f>
      </x:c>
      <x:c r="M9" t="str">
        <x:f>IFERROR(XLOOKUP(B9,'30th Products'!B:B,'30th Products'!E:E),"")</x:f>
      </x:c>
      <x:c r="N9"/>
      <x:c r="O9" s="31"/>
    </x:row>
    <x:row r="10">
      <x:c r="A10" s="48"/>
      <x:c r="B10"/>
      <x:c r="C10"/>
      <x:c r="D10"/>
      <x:c r="E10" s="50"/>
      <x:c r="F10" s="50"/>
      <x:c r="G10" s="50" t="str">
        <x:f>IF(D10="","",D10*E10+F10)</x:f>
      </x:c>
      <x:c r="H10" s="50" t="str">
        <x:f>IFERROR(XLOOKUP(B10,'30th Products'!B:B,'30th Products'!C:C),"")</x:f>
      </x:c>
      <x:c r="I10" s="52" t="str">
        <x:f>IFERROR(E10/H10-1,"")</x:f>
      </x:c>
      <x:c r="J10" s="50"/>
      <x:c r="K10" s="50" t="str">
        <x:f>IF(D10="","",D10*J10)</x:f>
      </x:c>
      <x:c r="L10" s="50" t="str">
        <x:f>IF(K10="","",K10-G10)</x:f>
      </x:c>
      <x:c r="M10" t="str">
        <x:f>IFERROR(XLOOKUP(B10,'30th Products'!B:B,'30th Products'!E:E),"")</x:f>
      </x:c>
      <x:c r="N10"/>
      <x:c r="O10" s="31"/>
    </x:row>
    <x:row r="11">
      <x:c r="A11" s="48"/>
      <x:c r="B11"/>
      <x:c r="C11"/>
      <x:c r="D11"/>
      <x:c r="E11" s="50"/>
      <x:c r="F11" s="50"/>
      <x:c r="G11" s="50" t="str">
        <x:f>IF(D11="","",D11*E11+F11)</x:f>
      </x:c>
      <x:c r="H11" s="50" t="str">
        <x:f>IFERROR(XLOOKUP(B11,'30th Products'!B:B,'30th Products'!C:C),"")</x:f>
      </x:c>
      <x:c r="I11" s="52" t="str">
        <x:f>IFERROR(E11/H11-1,"")</x:f>
      </x:c>
      <x:c r="J11" s="50"/>
      <x:c r="K11" s="50" t="str">
        <x:f>IF(D11="","",D11*J11)</x:f>
      </x:c>
      <x:c r="L11" s="50" t="str">
        <x:f>IF(K11="","",K11-G11)</x:f>
      </x:c>
      <x:c r="M11" t="str">
        <x:f>IFERROR(XLOOKUP(B11,'30th Products'!B:B,'30th Products'!E:E),"")</x:f>
      </x:c>
      <x:c r="N11"/>
      <x:c r="O11" s="31"/>
    </x:row>
    <x:row r="12">
      <x:c r="A12" s="48"/>
      <x:c r="B12"/>
      <x:c r="C12"/>
      <x:c r="D12"/>
      <x:c r="E12" s="50"/>
      <x:c r="F12" s="50"/>
      <x:c r="G12" s="50" t="str">
        <x:f>IF(D12="","",D12*E12+F12)</x:f>
      </x:c>
      <x:c r="H12" s="50" t="str">
        <x:f>IFERROR(XLOOKUP(B12,'30th Products'!B:B,'30th Products'!C:C),"")</x:f>
      </x:c>
      <x:c r="I12" s="52" t="str">
        <x:f>IFERROR(E12/H12-1,"")</x:f>
      </x:c>
      <x:c r="J12" s="50"/>
      <x:c r="K12" s="50" t="str">
        <x:f>IF(D12="","",D12*J12)</x:f>
      </x:c>
      <x:c r="L12" s="50" t="str">
        <x:f>IF(K12="","",K12-G12)</x:f>
      </x:c>
      <x:c r="M12" t="str">
        <x:f>IFERROR(XLOOKUP(B12,'30th Products'!B:B,'30th Products'!E:E),"")</x:f>
      </x:c>
      <x:c r="N12"/>
      <x:c r="O12" s="31"/>
    </x:row>
    <x:row r="13">
      <x:c r="A13" s="48"/>
      <x:c r="B13"/>
      <x:c r="C13"/>
      <x:c r="D13"/>
      <x:c r="E13" s="50"/>
      <x:c r="F13" s="50"/>
      <x:c r="G13" s="50" t="str">
        <x:f>IF(D13="","",D13*E13+F13)</x:f>
      </x:c>
      <x:c r="H13" s="50" t="str">
        <x:f>IFERROR(XLOOKUP(B13,'30th Products'!B:B,'30th Products'!C:C),"")</x:f>
      </x:c>
      <x:c r="I13" s="52" t="str">
        <x:f>IFERROR(E13/H13-1,"")</x:f>
      </x:c>
      <x:c r="J13" s="50"/>
      <x:c r="K13" s="50" t="str">
        <x:f>IF(D13="","",D13*J13)</x:f>
      </x:c>
      <x:c r="L13" s="50" t="str">
        <x:f>IF(K13="","",K13-G13)</x:f>
      </x:c>
      <x:c r="M13" t="str">
        <x:f>IFERROR(XLOOKUP(B13,'30th Products'!B:B,'30th Products'!E:E),"")</x:f>
      </x:c>
      <x:c r="N13"/>
      <x:c r="O13" s="31"/>
    </x:row>
    <x:row r="14">
      <x:c r="A14" s="48"/>
      <x:c r="B14"/>
      <x:c r="C14"/>
      <x:c r="D14"/>
      <x:c r="E14" s="50"/>
      <x:c r="F14" s="50"/>
      <x:c r="G14" s="50" t="str">
        <x:f>IF(D14="","",D14*E14+F14)</x:f>
      </x:c>
      <x:c r="H14" s="50" t="str">
        <x:f>IFERROR(XLOOKUP(B14,'30th Products'!B:B,'30th Products'!C:C),"")</x:f>
      </x:c>
      <x:c r="I14" s="52" t="str">
        <x:f>IFERROR(E14/H14-1,"")</x:f>
      </x:c>
      <x:c r="J14" s="50"/>
      <x:c r="K14" s="50" t="str">
        <x:f>IF(D14="","",D14*J14)</x:f>
      </x:c>
      <x:c r="L14" s="50" t="str">
        <x:f>IF(K14="","",K14-G14)</x:f>
      </x:c>
      <x:c r="M14" t="str">
        <x:f>IFERROR(XLOOKUP(B14,'30th Products'!B:B,'30th Products'!E:E),"")</x:f>
      </x:c>
      <x:c r="N14"/>
      <x:c r="O14" s="31"/>
    </x:row>
    <x:row r="15">
      <x:c r="A15" s="48"/>
      <x:c r="B15"/>
      <x:c r="C15"/>
      <x:c r="D15"/>
      <x:c r="E15" s="50"/>
      <x:c r="F15" s="50"/>
      <x:c r="G15" s="50" t="str">
        <x:f>IF(D15="","",D15*E15+F15)</x:f>
      </x:c>
      <x:c r="H15" s="50" t="str">
        <x:f>IFERROR(XLOOKUP(B15,'30th Products'!B:B,'30th Products'!C:C),"")</x:f>
      </x:c>
      <x:c r="I15" s="52" t="str">
        <x:f>IFERROR(E15/H15-1,"")</x:f>
      </x:c>
      <x:c r="J15" s="50"/>
      <x:c r="K15" s="50" t="str">
        <x:f>IF(D15="","",D15*J15)</x:f>
      </x:c>
      <x:c r="L15" s="50" t="str">
        <x:f>IF(K15="","",K15-G15)</x:f>
      </x:c>
      <x:c r="M15" t="str">
        <x:f>IFERROR(XLOOKUP(B15,'30th Products'!B:B,'30th Products'!E:E),"")</x:f>
      </x:c>
      <x:c r="N15"/>
      <x:c r="O15" s="31"/>
    </x:row>
    <x:row r="16">
      <x:c r="A16" s="48"/>
      <x:c r="B16"/>
      <x:c r="C16"/>
      <x:c r="D16"/>
      <x:c r="E16" s="50"/>
      <x:c r="F16" s="50"/>
      <x:c r="G16" s="50" t="str">
        <x:f>IF(D16="","",D16*E16+F16)</x:f>
      </x:c>
      <x:c r="H16" s="50" t="str">
        <x:f>IFERROR(XLOOKUP(B16,'30th Products'!B:B,'30th Products'!C:C),"")</x:f>
      </x:c>
      <x:c r="I16" s="52" t="str">
        <x:f>IFERROR(E16/H16-1,"")</x:f>
      </x:c>
      <x:c r="J16" s="50"/>
      <x:c r="K16" s="50" t="str">
        <x:f>IF(D16="","",D16*J16)</x:f>
      </x:c>
      <x:c r="L16" s="50" t="str">
        <x:f>IF(K16="","",K16-G16)</x:f>
      </x:c>
      <x:c r="M16" t="str">
        <x:f>IFERROR(XLOOKUP(B16,'30th Products'!B:B,'30th Products'!E:E),"")</x:f>
      </x:c>
      <x:c r="N16"/>
      <x:c r="O16" s="31"/>
    </x:row>
    <x:row r="17">
      <x:c r="A17" s="48"/>
      <x:c r="B17"/>
      <x:c r="C17"/>
      <x:c r="D17"/>
      <x:c r="E17" s="50"/>
      <x:c r="F17" s="50"/>
      <x:c r="G17" s="50" t="str">
        <x:f>IF(D17="","",D17*E17+F17)</x:f>
      </x:c>
      <x:c r="H17" s="50" t="str">
        <x:f>IFERROR(XLOOKUP(B17,'30th Products'!B:B,'30th Products'!C:C),"")</x:f>
      </x:c>
      <x:c r="I17" s="52" t="str">
        <x:f>IFERROR(E17/H17-1,"")</x:f>
      </x:c>
      <x:c r="J17" s="50"/>
      <x:c r="K17" s="50" t="str">
        <x:f>IF(D17="","",D17*J17)</x:f>
      </x:c>
      <x:c r="L17" s="50" t="str">
        <x:f>IF(K17="","",K17-G17)</x:f>
      </x:c>
      <x:c r="M17" t="str">
        <x:f>IFERROR(XLOOKUP(B17,'30th Products'!B:B,'30th Products'!E:E),"")</x:f>
      </x:c>
      <x:c r="N17"/>
      <x:c r="O17" s="31"/>
    </x:row>
    <x:row r="18">
      <x:c r="A18" s="48"/>
      <x:c r="B18"/>
      <x:c r="C18"/>
      <x:c r="D18"/>
      <x:c r="E18" s="50"/>
      <x:c r="F18" s="50"/>
      <x:c r="G18" s="50" t="str">
        <x:f>IF(D18="","",D18*E18+F18)</x:f>
      </x:c>
      <x:c r="H18" s="50" t="str">
        <x:f>IFERROR(XLOOKUP(B18,'30th Products'!B:B,'30th Products'!C:C),"")</x:f>
      </x:c>
      <x:c r="I18" s="52" t="str">
        <x:f>IFERROR(E18/H18-1,"")</x:f>
      </x:c>
      <x:c r="J18" s="50"/>
      <x:c r="K18" s="50" t="str">
        <x:f>IF(D18="","",D18*J18)</x:f>
      </x:c>
      <x:c r="L18" s="50" t="str">
        <x:f>IF(K18="","",K18-G18)</x:f>
      </x:c>
      <x:c r="M18" t="str">
        <x:f>IFERROR(XLOOKUP(B18,'30th Products'!B:B,'30th Products'!E:E),"")</x:f>
      </x:c>
      <x:c r="N18"/>
      <x:c r="O18" s="31"/>
    </x:row>
    <x:row r="19">
      <x:c r="A19" s="48"/>
      <x:c r="B19"/>
      <x:c r="C19"/>
      <x:c r="D19"/>
      <x:c r="E19" s="50"/>
      <x:c r="F19" s="50"/>
      <x:c r="G19" s="50" t="str">
        <x:f>IF(D19="","",D19*E19+F19)</x:f>
      </x:c>
      <x:c r="H19" s="50" t="str">
        <x:f>IFERROR(XLOOKUP(B19,'30th Products'!B:B,'30th Products'!C:C),"")</x:f>
      </x:c>
      <x:c r="I19" s="52" t="str">
        <x:f>IFERROR(E19/H19-1,"")</x:f>
      </x:c>
      <x:c r="J19" s="50"/>
      <x:c r="K19" s="50" t="str">
        <x:f>IF(D19="","",D19*J19)</x:f>
      </x:c>
      <x:c r="L19" s="50" t="str">
        <x:f>IF(K19="","",K19-G19)</x:f>
      </x:c>
      <x:c r="M19" t="str">
        <x:f>IFERROR(XLOOKUP(B19,'30th Products'!B:B,'30th Products'!E:E),"")</x:f>
      </x:c>
      <x:c r="N19"/>
      <x:c r="O19" s="31"/>
    </x:row>
    <x:row r="20">
      <x:c r="A20" s="48"/>
      <x:c r="B20"/>
      <x:c r="C20"/>
      <x:c r="D20"/>
      <x:c r="E20" s="50"/>
      <x:c r="F20" s="50"/>
      <x:c r="G20" s="50" t="str">
        <x:f>IF(D20="","",D20*E20+F20)</x:f>
      </x:c>
      <x:c r="H20" s="50" t="str">
        <x:f>IFERROR(XLOOKUP(B20,'30th Products'!B:B,'30th Products'!C:C),"")</x:f>
      </x:c>
      <x:c r="I20" s="52" t="str">
        <x:f>IFERROR(E20/H20-1,"")</x:f>
      </x:c>
      <x:c r="J20" s="50"/>
      <x:c r="K20" s="50" t="str">
        <x:f>IF(D20="","",D20*J20)</x:f>
      </x:c>
      <x:c r="L20" s="50" t="str">
        <x:f>IF(K20="","",K20-G20)</x:f>
      </x:c>
      <x:c r="M20" t="str">
        <x:f>IFERROR(XLOOKUP(B20,'30th Products'!B:B,'30th Products'!E:E),"")</x:f>
      </x:c>
      <x:c r="N20"/>
      <x:c r="O20" s="31"/>
    </x:row>
    <x:row r="21">
      <x:c r="A21" s="48"/>
      <x:c r="B21"/>
      <x:c r="C21"/>
      <x:c r="D21"/>
      <x:c r="E21" s="50"/>
      <x:c r="F21" s="50"/>
      <x:c r="G21" s="50" t="str">
        <x:f>IF(D21="","",D21*E21+F21)</x:f>
      </x:c>
      <x:c r="H21" s="50" t="str">
        <x:f>IFERROR(XLOOKUP(B21,'30th Products'!B:B,'30th Products'!C:C),"")</x:f>
      </x:c>
      <x:c r="I21" s="52" t="str">
        <x:f>IFERROR(E21/H21-1,"")</x:f>
      </x:c>
      <x:c r="J21" s="50"/>
      <x:c r="K21" s="50" t="str">
        <x:f>IF(D21="","",D21*J21)</x:f>
      </x:c>
      <x:c r="L21" s="50" t="str">
        <x:f>IF(K21="","",K21-G21)</x:f>
      </x:c>
      <x:c r="M21" t="str">
        <x:f>IFERROR(XLOOKUP(B21,'30th Products'!B:B,'30th Products'!E:E),"")</x:f>
      </x:c>
      <x:c r="N21"/>
      <x:c r="O21" s="31"/>
    </x:row>
    <x:row r="22">
      <x:c r="A22" s="48"/>
      <x:c r="B22"/>
      <x:c r="C22"/>
      <x:c r="D22"/>
      <x:c r="E22" s="50"/>
      <x:c r="F22" s="50"/>
      <x:c r="G22" s="50" t="str">
        <x:f>IF(D22="","",D22*E22+F22)</x:f>
      </x:c>
      <x:c r="H22" s="50" t="str">
        <x:f>IFERROR(XLOOKUP(B22,'30th Products'!B:B,'30th Products'!C:C),"")</x:f>
      </x:c>
      <x:c r="I22" s="52" t="str">
        <x:f>IFERROR(E22/H22-1,"")</x:f>
      </x:c>
      <x:c r="J22" s="50"/>
      <x:c r="K22" s="50" t="str">
        <x:f>IF(D22="","",D22*J22)</x:f>
      </x:c>
      <x:c r="L22" s="50" t="str">
        <x:f>IF(K22="","",K22-G22)</x:f>
      </x:c>
      <x:c r="M22" t="str">
        <x:f>IFERROR(XLOOKUP(B22,'30th Products'!B:B,'30th Products'!E:E),"")</x:f>
      </x:c>
      <x:c r="N22"/>
      <x:c r="O22" s="31"/>
    </x:row>
    <x:row r="23">
      <x:c r="A23" s="48"/>
      <x:c r="B23"/>
      <x:c r="C23"/>
      <x:c r="D23"/>
      <x:c r="E23" s="50"/>
      <x:c r="F23" s="50"/>
      <x:c r="G23" s="50" t="str">
        <x:f>IF(D23="","",D23*E23+F23)</x:f>
      </x:c>
      <x:c r="H23" s="50" t="str">
        <x:f>IFERROR(XLOOKUP(B23,'30th Products'!B:B,'30th Products'!C:C),"")</x:f>
      </x:c>
      <x:c r="I23" s="52" t="str">
        <x:f>IFERROR(E23/H23-1,"")</x:f>
      </x:c>
      <x:c r="J23" s="50"/>
      <x:c r="K23" s="50" t="str">
        <x:f>IF(D23="","",D23*J23)</x:f>
      </x:c>
      <x:c r="L23" s="50" t="str">
        <x:f>IF(K23="","",K23-G23)</x:f>
      </x:c>
      <x:c r="M23" t="str">
        <x:f>IFERROR(XLOOKUP(B23,'30th Products'!B:B,'30th Products'!E:E),"")</x:f>
      </x:c>
      <x:c r="N23"/>
      <x:c r="O23" s="31"/>
    </x:row>
    <x:row r="24">
      <x:c r="A24" s="48"/>
      <x:c r="B24"/>
      <x:c r="C24"/>
      <x:c r="D24"/>
      <x:c r="E24" s="50"/>
      <x:c r="F24" s="50"/>
      <x:c r="G24" s="50" t="str">
        <x:f>IF(D24="","",D24*E24+F24)</x:f>
      </x:c>
      <x:c r="H24" s="50" t="str">
        <x:f>IFERROR(XLOOKUP(B24,'30th Products'!B:B,'30th Products'!C:C),"")</x:f>
      </x:c>
      <x:c r="I24" s="52" t="str">
        <x:f>IFERROR(E24/H24-1,"")</x:f>
      </x:c>
      <x:c r="J24" s="50"/>
      <x:c r="K24" s="50" t="str">
        <x:f>IF(D24="","",D24*J24)</x:f>
      </x:c>
      <x:c r="L24" s="50" t="str">
        <x:f>IF(K24="","",K24-G24)</x:f>
      </x:c>
      <x:c r="M24" t="str">
        <x:f>IFERROR(XLOOKUP(B24,'30th Products'!B:B,'30th Products'!E:E),"")</x:f>
      </x:c>
      <x:c r="N24"/>
      <x:c r="O24" s="31"/>
    </x:row>
    <x:row r="25">
      <x:c r="A25" s="48"/>
      <x:c r="B25"/>
      <x:c r="C25"/>
      <x:c r="D25"/>
      <x:c r="E25" s="50"/>
      <x:c r="F25" s="50"/>
      <x:c r="G25" s="50" t="str">
        <x:f>IF(D25="","",D25*E25+F25)</x:f>
      </x:c>
      <x:c r="H25" s="50" t="str">
        <x:f>IFERROR(XLOOKUP(B25,'30th Products'!B:B,'30th Products'!C:C),"")</x:f>
      </x:c>
      <x:c r="I25" s="52" t="str">
        <x:f>IFERROR(E25/H25-1,"")</x:f>
      </x:c>
      <x:c r="J25" s="50"/>
      <x:c r="K25" s="50" t="str">
        <x:f>IF(D25="","",D25*J25)</x:f>
      </x:c>
      <x:c r="L25" s="50" t="str">
        <x:f>IF(K25="","",K25-G25)</x:f>
      </x:c>
      <x:c r="M25" t="str">
        <x:f>IFERROR(XLOOKUP(B25,'30th Products'!B:B,'30th Products'!E:E),"")</x:f>
      </x:c>
      <x:c r="N25"/>
      <x:c r="O25" s="31"/>
    </x:row>
    <x:row r="26">
      <x:c r="A26" s="48"/>
      <x:c r="B26"/>
      <x:c r="C26"/>
      <x:c r="D26"/>
      <x:c r="E26" s="50"/>
      <x:c r="F26" s="50"/>
      <x:c r="G26" s="50" t="str">
        <x:f>IF(D26="","",D26*E26+F26)</x:f>
      </x:c>
      <x:c r="H26" s="50" t="str">
        <x:f>IFERROR(XLOOKUP(B26,'30th Products'!B:B,'30th Products'!C:C),"")</x:f>
      </x:c>
      <x:c r="I26" s="52" t="str">
        <x:f>IFERROR(E26/H26-1,"")</x:f>
      </x:c>
      <x:c r="J26" s="50"/>
      <x:c r="K26" s="50" t="str">
        <x:f>IF(D26="","",D26*J26)</x:f>
      </x:c>
      <x:c r="L26" s="50" t="str">
        <x:f>IF(K26="","",K26-G26)</x:f>
      </x:c>
      <x:c r="M26" t="str">
        <x:f>IFERROR(XLOOKUP(B26,'30th Products'!B:B,'30th Products'!E:E),"")</x:f>
      </x:c>
      <x:c r="N26"/>
      <x:c r="O26" s="31"/>
    </x:row>
    <x:row r="27">
      <x:c r="A27" s="48"/>
      <x:c r="B27"/>
      <x:c r="C27"/>
      <x:c r="D27"/>
      <x:c r="E27" s="50"/>
      <x:c r="F27" s="50"/>
      <x:c r="G27" s="50" t="str">
        <x:f>IF(D27="","",D27*E27+F27)</x:f>
      </x:c>
      <x:c r="H27" s="50" t="str">
        <x:f>IFERROR(XLOOKUP(B27,'30th Products'!B:B,'30th Products'!C:C),"")</x:f>
      </x:c>
      <x:c r="I27" s="52" t="str">
        <x:f>IFERROR(E27/H27-1,"")</x:f>
      </x:c>
      <x:c r="J27" s="50"/>
      <x:c r="K27" s="50" t="str">
        <x:f>IF(D27="","",D27*J27)</x:f>
      </x:c>
      <x:c r="L27" s="50" t="str">
        <x:f>IF(K27="","",K27-G27)</x:f>
      </x:c>
      <x:c r="M27" t="str">
        <x:f>IFERROR(XLOOKUP(B27,'30th Products'!B:B,'30th Products'!E:E),"")</x:f>
      </x:c>
      <x:c r="N27"/>
      <x:c r="O27" s="31"/>
    </x:row>
    <x:row r="28">
      <x:c r="A28" s="48"/>
      <x:c r="B28"/>
      <x:c r="C28"/>
      <x:c r="D28"/>
      <x:c r="E28" s="50"/>
      <x:c r="F28" s="50"/>
      <x:c r="G28" s="50" t="str">
        <x:f>IF(D28="","",D28*E28+F28)</x:f>
      </x:c>
      <x:c r="H28" s="50" t="str">
        <x:f>IFERROR(XLOOKUP(B28,'30th Products'!B:B,'30th Products'!C:C),"")</x:f>
      </x:c>
      <x:c r="I28" s="52" t="str">
        <x:f>IFERROR(E28/H28-1,"")</x:f>
      </x:c>
      <x:c r="J28" s="50"/>
      <x:c r="K28" s="50" t="str">
        <x:f>IF(D28="","",D28*J28)</x:f>
      </x:c>
      <x:c r="L28" s="50" t="str">
        <x:f>IF(K28="","",K28-G28)</x:f>
      </x:c>
      <x:c r="M28" t="str">
        <x:f>IFERROR(XLOOKUP(B28,'30th Products'!B:B,'30th Products'!E:E),"")</x:f>
      </x:c>
      <x:c r="N28"/>
      <x:c r="O28" s="31"/>
    </x:row>
    <x:row r="29">
      <x:c r="A29" s="48"/>
      <x:c r="B29"/>
      <x:c r="C29"/>
      <x:c r="D29"/>
      <x:c r="E29" s="50"/>
      <x:c r="F29" s="50"/>
      <x:c r="G29" s="50" t="str">
        <x:f>IF(D29="","",D29*E29+F29)</x:f>
      </x:c>
      <x:c r="H29" s="50" t="str">
        <x:f>IFERROR(XLOOKUP(B29,'30th Products'!B:B,'30th Products'!C:C),"")</x:f>
      </x:c>
      <x:c r="I29" s="52" t="str">
        <x:f>IFERROR(E29/H29-1,"")</x:f>
      </x:c>
      <x:c r="J29" s="50"/>
      <x:c r="K29" s="50" t="str">
        <x:f>IF(D29="","",D29*J29)</x:f>
      </x:c>
      <x:c r="L29" s="50" t="str">
        <x:f>IF(K29="","",K29-G29)</x:f>
      </x:c>
      <x:c r="M29" t="str">
        <x:f>IFERROR(XLOOKUP(B29,'30th Products'!B:B,'30th Products'!E:E),"")</x:f>
      </x:c>
      <x:c r="N29"/>
      <x:c r="O29" s="31"/>
    </x:row>
    <x:row r="30">
      <x:c r="A30" s="48"/>
      <x:c r="B30"/>
      <x:c r="C30"/>
      <x:c r="D30"/>
      <x:c r="E30" s="50"/>
      <x:c r="F30" s="50"/>
      <x:c r="G30" s="50" t="str">
        <x:f>IF(D30="","",D30*E30+F30)</x:f>
      </x:c>
      <x:c r="H30" s="50" t="str">
        <x:f>IFERROR(XLOOKUP(B30,'30th Products'!B:B,'30th Products'!C:C),"")</x:f>
      </x:c>
      <x:c r="I30" s="52" t="str">
        <x:f>IFERROR(E30/H30-1,"")</x:f>
      </x:c>
      <x:c r="J30" s="50"/>
      <x:c r="K30" s="50" t="str">
        <x:f>IF(D30="","",D30*J30)</x:f>
      </x:c>
      <x:c r="L30" s="50" t="str">
        <x:f>IF(K30="","",K30-G30)</x:f>
      </x:c>
      <x:c r="M30" t="str">
        <x:f>IFERROR(XLOOKUP(B30,'30th Products'!B:B,'30th Products'!E:E),"")</x:f>
      </x:c>
      <x:c r="N30"/>
      <x:c r="O30" s="31"/>
    </x:row>
    <x:row r="31">
      <x:c r="A31" s="48"/>
      <x:c r="B31"/>
      <x:c r="C31"/>
      <x:c r="D31"/>
      <x:c r="E31" s="50"/>
      <x:c r="F31" s="50"/>
      <x:c r="G31" s="50" t="str">
        <x:f>IF(D31="","",D31*E31+F31)</x:f>
      </x:c>
      <x:c r="H31" s="50" t="str">
        <x:f>IFERROR(XLOOKUP(B31,'30th Products'!B:B,'30th Products'!C:C),"")</x:f>
      </x:c>
      <x:c r="I31" s="52" t="str">
        <x:f>IFERROR(E31/H31-1,"")</x:f>
      </x:c>
      <x:c r="J31" s="50"/>
      <x:c r="K31" s="50" t="str">
        <x:f>IF(D31="","",D31*J31)</x:f>
      </x:c>
      <x:c r="L31" s="50" t="str">
        <x:f>IF(K31="","",K31-G31)</x:f>
      </x:c>
      <x:c r="M31" t="str">
        <x:f>IFERROR(XLOOKUP(B31,'30th Products'!B:B,'30th Products'!E:E),"")</x:f>
      </x:c>
      <x:c r="N31"/>
      <x:c r="O31" s="31"/>
    </x:row>
    <x:row r="32">
      <x:c r="A32" s="48"/>
      <x:c r="B32"/>
      <x:c r="C32"/>
      <x:c r="D32"/>
      <x:c r="E32" s="50"/>
      <x:c r="F32" s="50"/>
      <x:c r="G32" s="50" t="str">
        <x:f>IF(D32="","",D32*E32+F32)</x:f>
      </x:c>
      <x:c r="H32" s="50" t="str">
        <x:f>IFERROR(XLOOKUP(B32,'30th Products'!B:B,'30th Products'!C:C),"")</x:f>
      </x:c>
      <x:c r="I32" s="52" t="str">
        <x:f>IFERROR(E32/H32-1,"")</x:f>
      </x:c>
      <x:c r="J32" s="50"/>
      <x:c r="K32" s="50" t="str">
        <x:f>IF(D32="","",D32*J32)</x:f>
      </x:c>
      <x:c r="L32" s="50" t="str">
        <x:f>IF(K32="","",K32-G32)</x:f>
      </x:c>
      <x:c r="M32" t="str">
        <x:f>IFERROR(XLOOKUP(B32,'30th Products'!B:B,'30th Products'!E:E),"")</x:f>
      </x:c>
      <x:c r="N32"/>
      <x:c r="O32" s="31"/>
    </x:row>
    <x:row r="33">
      <x:c r="A33" s="48"/>
      <x:c r="B33"/>
      <x:c r="C33"/>
      <x:c r="D33"/>
      <x:c r="E33" s="50"/>
      <x:c r="F33" s="50"/>
      <x:c r="G33" s="50" t="str">
        <x:f>IF(D33="","",D33*E33+F33)</x:f>
      </x:c>
      <x:c r="H33" s="50" t="str">
        <x:f>IFERROR(XLOOKUP(B33,'30th Products'!B:B,'30th Products'!C:C),"")</x:f>
      </x:c>
      <x:c r="I33" s="52" t="str">
        <x:f>IFERROR(E33/H33-1,"")</x:f>
      </x:c>
      <x:c r="J33" s="50"/>
      <x:c r="K33" s="50" t="str">
        <x:f>IF(D33="","",D33*J33)</x:f>
      </x:c>
      <x:c r="L33" s="50" t="str">
        <x:f>IF(K33="","",K33-G33)</x:f>
      </x:c>
      <x:c r="M33" t="str">
        <x:f>IFERROR(XLOOKUP(B33,'30th Products'!B:B,'30th Products'!E:E),"")</x:f>
      </x:c>
      <x:c r="N33"/>
      <x:c r="O33" s="31"/>
    </x:row>
    <x:row r="34">
      <x:c r="A34" s="48"/>
      <x:c r="B34"/>
      <x:c r="C34"/>
      <x:c r="D34"/>
      <x:c r="E34" s="50"/>
      <x:c r="F34" s="50"/>
      <x:c r="G34" s="50" t="str">
        <x:f>IF(D34="","",D34*E34+F34)</x:f>
      </x:c>
      <x:c r="H34" s="50" t="str">
        <x:f>IFERROR(XLOOKUP(B34,'30th Products'!B:B,'30th Products'!C:C),"")</x:f>
      </x:c>
      <x:c r="I34" s="52" t="str">
        <x:f>IFERROR(E34/H34-1,"")</x:f>
      </x:c>
      <x:c r="J34" s="50"/>
      <x:c r="K34" s="50" t="str">
        <x:f>IF(D34="","",D34*J34)</x:f>
      </x:c>
      <x:c r="L34" s="50" t="str">
        <x:f>IF(K34="","",K34-G34)</x:f>
      </x:c>
      <x:c r="M34" t="str">
        <x:f>IFERROR(XLOOKUP(B34,'30th Products'!B:B,'30th Products'!E:E),"")</x:f>
      </x:c>
      <x:c r="N34"/>
      <x:c r="O34" s="31"/>
    </x:row>
    <x:row r="35">
      <x:c r="A35" s="48"/>
      <x:c r="B35"/>
      <x:c r="C35"/>
      <x:c r="D35"/>
      <x:c r="E35" s="50"/>
      <x:c r="F35" s="50"/>
      <x:c r="G35" s="50" t="str">
        <x:f>IF(D35="","",D35*E35+F35)</x:f>
      </x:c>
      <x:c r="H35" s="50" t="str">
        <x:f>IFERROR(XLOOKUP(B35,'30th Products'!B:B,'30th Products'!C:C),"")</x:f>
      </x:c>
      <x:c r="I35" s="52" t="str">
        <x:f>IFERROR(E35/H35-1,"")</x:f>
      </x:c>
      <x:c r="J35" s="50"/>
      <x:c r="K35" s="50" t="str">
        <x:f>IF(D35="","",D35*J35)</x:f>
      </x:c>
      <x:c r="L35" s="50" t="str">
        <x:f>IF(K35="","",K35-G35)</x:f>
      </x:c>
      <x:c r="M35" t="str">
        <x:f>IFERROR(XLOOKUP(B35,'30th Products'!B:B,'30th Products'!E:E),"")</x:f>
      </x:c>
      <x:c r="N35"/>
      <x:c r="O35" s="31"/>
    </x:row>
    <x:row r="36">
      <x:c r="A36" s="48"/>
      <x:c r="B36"/>
      <x:c r="C36"/>
      <x:c r="D36"/>
      <x:c r="E36" s="50"/>
      <x:c r="F36" s="50"/>
      <x:c r="G36" s="50" t="str">
        <x:f>IF(D36="","",D36*E36+F36)</x:f>
      </x:c>
      <x:c r="H36" s="50" t="str">
        <x:f>IFERROR(XLOOKUP(B36,'30th Products'!B:B,'30th Products'!C:C),"")</x:f>
      </x:c>
      <x:c r="I36" s="52" t="str">
        <x:f>IFERROR(E36/H36-1,"")</x:f>
      </x:c>
      <x:c r="J36" s="50"/>
      <x:c r="K36" s="50" t="str">
        <x:f>IF(D36="","",D36*J36)</x:f>
      </x:c>
      <x:c r="L36" s="50" t="str">
        <x:f>IF(K36="","",K36-G36)</x:f>
      </x:c>
      <x:c r="M36" t="str">
        <x:f>IFERROR(XLOOKUP(B36,'30th Products'!B:B,'30th Products'!E:E),"")</x:f>
      </x:c>
      <x:c r="N36"/>
      <x:c r="O36" s="31"/>
    </x:row>
    <x:row r="37">
      <x:c r="A37" s="48"/>
      <x:c r="B37"/>
      <x:c r="C37"/>
      <x:c r="D37"/>
      <x:c r="E37" s="50"/>
      <x:c r="F37" s="50"/>
      <x:c r="G37" s="50" t="str">
        <x:f>IF(D37="","",D37*E37+F37)</x:f>
      </x:c>
      <x:c r="H37" s="50" t="str">
        <x:f>IFERROR(XLOOKUP(B37,'30th Products'!B:B,'30th Products'!C:C),"")</x:f>
      </x:c>
      <x:c r="I37" s="52" t="str">
        <x:f>IFERROR(E37/H37-1,"")</x:f>
      </x:c>
      <x:c r="J37" s="50"/>
      <x:c r="K37" s="50" t="str">
        <x:f>IF(D37="","",D37*J37)</x:f>
      </x:c>
      <x:c r="L37" s="50" t="str">
        <x:f>IF(K37="","",K37-G37)</x:f>
      </x:c>
      <x:c r="M37" t="str">
        <x:f>IFERROR(XLOOKUP(B37,'30th Products'!B:B,'30th Products'!E:E),"")</x:f>
      </x:c>
      <x:c r="N37"/>
      <x:c r="O37" s="31"/>
    </x:row>
    <x:row r="38">
      <x:c r="A38" s="48"/>
      <x:c r="B38"/>
      <x:c r="C38"/>
      <x:c r="D38"/>
      <x:c r="E38" s="50"/>
      <x:c r="F38" s="50"/>
      <x:c r="G38" s="50" t="str">
        <x:f>IF(D38="","",D38*E38+F38)</x:f>
      </x:c>
      <x:c r="H38" s="50" t="str">
        <x:f>IFERROR(XLOOKUP(B38,'30th Products'!B:B,'30th Products'!C:C),"")</x:f>
      </x:c>
      <x:c r="I38" s="52" t="str">
        <x:f>IFERROR(E38/H38-1,"")</x:f>
      </x:c>
      <x:c r="J38" s="50"/>
      <x:c r="K38" s="50" t="str">
        <x:f>IF(D38="","",D38*J38)</x:f>
      </x:c>
      <x:c r="L38" s="50" t="str">
        <x:f>IF(K38="","",K38-G38)</x:f>
      </x:c>
      <x:c r="M38" t="str">
        <x:f>IFERROR(XLOOKUP(B38,'30th Products'!B:B,'30th Products'!E:E),"")</x:f>
      </x:c>
      <x:c r="N38"/>
      <x:c r="O38" s="31"/>
    </x:row>
    <x:row r="39">
      <x:c r="A39" s="48"/>
      <x:c r="B39"/>
      <x:c r="C39"/>
      <x:c r="D39"/>
      <x:c r="E39" s="50"/>
      <x:c r="F39" s="50"/>
      <x:c r="G39" s="50" t="str">
        <x:f>IF(D39="","",D39*E39+F39)</x:f>
      </x:c>
      <x:c r="H39" s="50" t="str">
        <x:f>IFERROR(XLOOKUP(B39,'30th Products'!B:B,'30th Products'!C:C),"")</x:f>
      </x:c>
      <x:c r="I39" s="52" t="str">
        <x:f>IFERROR(E39/H39-1,"")</x:f>
      </x:c>
      <x:c r="J39" s="50"/>
      <x:c r="K39" s="50" t="str">
        <x:f>IF(D39="","",D39*J39)</x:f>
      </x:c>
      <x:c r="L39" s="50" t="str">
        <x:f>IF(K39="","",K39-G39)</x:f>
      </x:c>
      <x:c r="M39" t="str">
        <x:f>IFERROR(XLOOKUP(B39,'30th Products'!B:B,'30th Products'!E:E),"")</x:f>
      </x:c>
      <x:c r="N39"/>
      <x:c r="O39" s="31"/>
    </x:row>
    <x:row r="40">
      <x:c r="A40" s="48"/>
      <x:c r="B40"/>
      <x:c r="C40"/>
      <x:c r="D40"/>
      <x:c r="E40" s="50"/>
      <x:c r="F40" s="50"/>
      <x:c r="G40" s="50" t="str">
        <x:f>IF(D40="","",D40*E40+F40)</x:f>
      </x:c>
      <x:c r="H40" s="50" t="str">
        <x:f>IFERROR(XLOOKUP(B40,'30th Products'!B:B,'30th Products'!C:C),"")</x:f>
      </x:c>
      <x:c r="I40" s="52" t="str">
        <x:f>IFERROR(E40/H40-1,"")</x:f>
      </x:c>
      <x:c r="J40" s="50"/>
      <x:c r="K40" s="50" t="str">
        <x:f>IF(D40="","",D40*J40)</x:f>
      </x:c>
      <x:c r="L40" s="50" t="str">
        <x:f>IF(K40="","",K40-G40)</x:f>
      </x:c>
      <x:c r="M40" t="str">
        <x:f>IFERROR(XLOOKUP(B40,'30th Products'!B:B,'30th Products'!E:E),"")</x:f>
      </x:c>
      <x:c r="N40"/>
      <x:c r="O40" s="31"/>
    </x:row>
    <x:row r="41">
      <x:c r="A41" s="48"/>
      <x:c r="B41"/>
      <x:c r="C41"/>
      <x:c r="D41"/>
      <x:c r="E41" s="50"/>
      <x:c r="F41" s="50"/>
      <x:c r="G41" s="50" t="str">
        <x:f>IF(D41="","",D41*E41+F41)</x:f>
      </x:c>
      <x:c r="H41" s="50" t="str">
        <x:f>IFERROR(XLOOKUP(B41,'30th Products'!B:B,'30th Products'!C:C),"")</x:f>
      </x:c>
      <x:c r="I41" s="52" t="str">
        <x:f>IFERROR(E41/H41-1,"")</x:f>
      </x:c>
      <x:c r="J41" s="50"/>
      <x:c r="K41" s="50" t="str">
        <x:f>IF(D41="","",D41*J41)</x:f>
      </x:c>
      <x:c r="L41" s="50" t="str">
        <x:f>IF(K41="","",K41-G41)</x:f>
      </x:c>
      <x:c r="M41" t="str">
        <x:f>IFERROR(XLOOKUP(B41,'30th Products'!B:B,'30th Products'!E:E),"")</x:f>
      </x:c>
      <x:c r="N41"/>
      <x:c r="O41" s="31"/>
    </x:row>
    <x:row r="42">
      <x:c r="A42" s="48"/>
      <x:c r="B42"/>
      <x:c r="C42"/>
      <x:c r="D42"/>
      <x:c r="E42" s="50"/>
      <x:c r="F42" s="50"/>
      <x:c r="G42" s="50" t="str">
        <x:f>IF(D42="","",D42*E42+F42)</x:f>
      </x:c>
      <x:c r="H42" s="50" t="str">
        <x:f>IFERROR(XLOOKUP(B42,'30th Products'!B:B,'30th Products'!C:C),"")</x:f>
      </x:c>
      <x:c r="I42" s="52" t="str">
        <x:f>IFERROR(E42/H42-1,"")</x:f>
      </x:c>
      <x:c r="J42" s="50"/>
      <x:c r="K42" s="50" t="str">
        <x:f>IF(D42="","",D42*J42)</x:f>
      </x:c>
      <x:c r="L42" s="50" t="str">
        <x:f>IF(K42="","",K42-G42)</x:f>
      </x:c>
      <x:c r="M42" t="str">
        <x:f>IFERROR(XLOOKUP(B42,'30th Products'!B:B,'30th Products'!E:E),"")</x:f>
      </x:c>
      <x:c r="N42"/>
      <x:c r="O42" s="31"/>
    </x:row>
    <x:row r="43">
      <x:c r="A43" s="48"/>
      <x:c r="B43"/>
      <x:c r="C43"/>
      <x:c r="D43"/>
      <x:c r="E43" s="50"/>
      <x:c r="F43" s="50"/>
      <x:c r="G43" s="50" t="str">
        <x:f>IF(D43="","",D43*E43+F43)</x:f>
      </x:c>
      <x:c r="H43" s="50" t="str">
        <x:f>IFERROR(XLOOKUP(B43,'30th Products'!B:B,'30th Products'!C:C),"")</x:f>
      </x:c>
      <x:c r="I43" s="52" t="str">
        <x:f>IFERROR(E43/H43-1,"")</x:f>
      </x:c>
      <x:c r="J43" s="50"/>
      <x:c r="K43" s="50" t="str">
        <x:f>IF(D43="","",D43*J43)</x:f>
      </x:c>
      <x:c r="L43" s="50" t="str">
        <x:f>IF(K43="","",K43-G43)</x:f>
      </x:c>
      <x:c r="M43" t="str">
        <x:f>IFERROR(XLOOKUP(B43,'30th Products'!B:B,'30th Products'!E:E),"")</x:f>
      </x:c>
      <x:c r="N43"/>
      <x:c r="O43" s="31"/>
    </x:row>
    <x:row r="44">
      <x:c r="A44" s="48"/>
      <x:c r="B44"/>
      <x:c r="C44"/>
      <x:c r="D44"/>
      <x:c r="E44" s="50"/>
      <x:c r="F44" s="50"/>
      <x:c r="G44" s="50" t="str">
        <x:f>IF(D44="","",D44*E44+F44)</x:f>
      </x:c>
      <x:c r="H44" s="50" t="str">
        <x:f>IFERROR(XLOOKUP(B44,'30th Products'!B:B,'30th Products'!C:C),"")</x:f>
      </x:c>
      <x:c r="I44" s="52" t="str">
        <x:f>IFERROR(E44/H44-1,"")</x:f>
      </x:c>
      <x:c r="J44" s="50"/>
      <x:c r="K44" s="50" t="str">
        <x:f>IF(D44="","",D44*J44)</x:f>
      </x:c>
      <x:c r="L44" s="50" t="str">
        <x:f>IF(K44="","",K44-G44)</x:f>
      </x:c>
      <x:c r="M44" t="str">
        <x:f>IFERROR(XLOOKUP(B44,'30th Products'!B:B,'30th Products'!E:E),"")</x:f>
      </x:c>
      <x:c r="N44"/>
      <x:c r="O44" s="31"/>
    </x:row>
    <x:row r="45">
      <x:c r="A45" s="48"/>
      <x:c r="B45"/>
      <x:c r="C45"/>
      <x:c r="D45"/>
      <x:c r="E45" s="50"/>
      <x:c r="F45" s="50"/>
      <x:c r="G45" s="50" t="str">
        <x:f>IF(D45="","",D45*E45+F45)</x:f>
      </x:c>
      <x:c r="H45" s="50" t="str">
        <x:f>IFERROR(XLOOKUP(B45,'30th Products'!B:B,'30th Products'!C:C),"")</x:f>
      </x:c>
      <x:c r="I45" s="52" t="str">
        <x:f>IFERROR(E45/H45-1,"")</x:f>
      </x:c>
      <x:c r="J45" s="50"/>
      <x:c r="K45" s="50" t="str">
        <x:f>IF(D45="","",D45*J45)</x:f>
      </x:c>
      <x:c r="L45" s="50" t="str">
        <x:f>IF(K45="","",K45-G45)</x:f>
      </x:c>
      <x:c r="M45" t="str">
        <x:f>IFERROR(XLOOKUP(B45,'30th Products'!B:B,'30th Products'!E:E),"")</x:f>
      </x:c>
      <x:c r="N45"/>
      <x:c r="O45" s="31"/>
    </x:row>
    <x:row r="46">
      <x:c r="A46" s="48"/>
      <x:c r="B46"/>
      <x:c r="C46"/>
      <x:c r="D46"/>
      <x:c r="E46" s="50"/>
      <x:c r="F46" s="50"/>
      <x:c r="G46" s="50" t="str">
        <x:f>IF(D46="","",D46*E46+F46)</x:f>
      </x:c>
      <x:c r="H46" s="50" t="str">
        <x:f>IFERROR(XLOOKUP(B46,'30th Products'!B:B,'30th Products'!C:C),"")</x:f>
      </x:c>
      <x:c r="I46" s="52" t="str">
        <x:f>IFERROR(E46/H46-1,"")</x:f>
      </x:c>
      <x:c r="J46" s="50"/>
      <x:c r="K46" s="50" t="str">
        <x:f>IF(D46="","",D46*J46)</x:f>
      </x:c>
      <x:c r="L46" s="50" t="str">
        <x:f>IF(K46="","",K46-G46)</x:f>
      </x:c>
      <x:c r="M46" t="str">
        <x:f>IFERROR(XLOOKUP(B46,'30th Products'!B:B,'30th Products'!E:E),"")</x:f>
      </x:c>
      <x:c r="N46"/>
      <x:c r="O46" s="31"/>
    </x:row>
    <x:row r="47">
      <x:c r="A47" s="48"/>
      <x:c r="B47"/>
      <x:c r="C47"/>
      <x:c r="D47"/>
      <x:c r="E47" s="50"/>
      <x:c r="F47" s="50"/>
      <x:c r="G47" s="50" t="str">
        <x:f>IF(D47="","",D47*E47+F47)</x:f>
      </x:c>
      <x:c r="H47" s="50" t="str">
        <x:f>IFERROR(XLOOKUP(B47,'30th Products'!B:B,'30th Products'!C:C),"")</x:f>
      </x:c>
      <x:c r="I47" s="52" t="str">
        <x:f>IFERROR(E47/H47-1,"")</x:f>
      </x:c>
      <x:c r="J47" s="50"/>
      <x:c r="K47" s="50" t="str">
        <x:f>IF(D47="","",D47*J47)</x:f>
      </x:c>
      <x:c r="L47" s="50" t="str">
        <x:f>IF(K47="","",K47-G47)</x:f>
      </x:c>
      <x:c r="M47" t="str">
        <x:f>IFERROR(XLOOKUP(B47,'30th Products'!B:B,'30th Products'!E:E),"")</x:f>
      </x:c>
      <x:c r="N47"/>
      <x:c r="O47" s="31"/>
    </x:row>
    <x:row r="48">
      <x:c r="A48" s="48"/>
      <x:c r="B48"/>
      <x:c r="C48"/>
      <x:c r="D48"/>
      <x:c r="E48" s="50"/>
      <x:c r="F48" s="50"/>
      <x:c r="G48" s="50" t="str">
        <x:f>IF(D48="","",D48*E48+F48)</x:f>
      </x:c>
      <x:c r="H48" s="50" t="str">
        <x:f>IFERROR(XLOOKUP(B48,'30th Products'!B:B,'30th Products'!C:C),"")</x:f>
      </x:c>
      <x:c r="I48" s="52" t="str">
        <x:f>IFERROR(E48/H48-1,"")</x:f>
      </x:c>
      <x:c r="J48" s="50"/>
      <x:c r="K48" s="50" t="str">
        <x:f>IF(D48="","",D48*J48)</x:f>
      </x:c>
      <x:c r="L48" s="50" t="str">
        <x:f>IF(K48="","",K48-G48)</x:f>
      </x:c>
      <x:c r="M48" t="str">
        <x:f>IFERROR(XLOOKUP(B48,'30th Products'!B:B,'30th Products'!E:E),"")</x:f>
      </x:c>
      <x:c r="N48"/>
      <x:c r="O48" s="31"/>
    </x:row>
    <x:row r="49">
      <x:c r="A49" s="48"/>
      <x:c r="B49"/>
      <x:c r="C49"/>
      <x:c r="D49"/>
      <x:c r="E49" s="50"/>
      <x:c r="F49" s="50"/>
      <x:c r="G49" s="50" t="str">
        <x:f>IF(D49="","",D49*E49+F49)</x:f>
      </x:c>
      <x:c r="H49" s="50" t="str">
        <x:f>IFERROR(XLOOKUP(B49,'30th Products'!B:B,'30th Products'!C:C),"")</x:f>
      </x:c>
      <x:c r="I49" s="52" t="str">
        <x:f>IFERROR(E49/H49-1,"")</x:f>
      </x:c>
      <x:c r="J49" s="50"/>
      <x:c r="K49" s="50" t="str">
        <x:f>IF(D49="","",D49*J49)</x:f>
      </x:c>
      <x:c r="L49" s="50" t="str">
        <x:f>IF(K49="","",K49-G49)</x:f>
      </x:c>
      <x:c r="M49" t="str">
        <x:f>IFERROR(XLOOKUP(B49,'30th Products'!B:B,'30th Products'!E:E),"")</x:f>
      </x:c>
      <x:c r="N49"/>
      <x:c r="O49" s="31"/>
    </x:row>
    <x:row r="50">
      <x:c r="A50" s="48"/>
      <x:c r="B50"/>
      <x:c r="C50"/>
      <x:c r="D50"/>
      <x:c r="E50" s="50"/>
      <x:c r="F50" s="50"/>
      <x:c r="G50" s="50" t="str">
        <x:f>IF(D50="","",D50*E50+F50)</x:f>
      </x:c>
      <x:c r="H50" s="50" t="str">
        <x:f>IFERROR(XLOOKUP(B50,'30th Products'!B:B,'30th Products'!C:C),"")</x:f>
      </x:c>
      <x:c r="I50" s="52" t="str">
        <x:f>IFERROR(E50/H50-1,"")</x:f>
      </x:c>
      <x:c r="J50" s="50"/>
      <x:c r="K50" s="50" t="str">
        <x:f>IF(D50="","",D50*J50)</x:f>
      </x:c>
      <x:c r="L50" s="50" t="str">
        <x:f>IF(K50="","",K50-G50)</x:f>
      </x:c>
      <x:c r="M50" t="str">
        <x:f>IFERROR(XLOOKUP(B50,'30th Products'!B:B,'30th Products'!E:E),"")</x:f>
      </x:c>
      <x:c r="N50"/>
      <x:c r="O50" s="31"/>
    </x:row>
    <x:row r="51">
      <x:c r="A51" s="48"/>
      <x:c r="B51"/>
      <x:c r="C51"/>
      <x:c r="D51"/>
      <x:c r="E51" s="50"/>
      <x:c r="F51" s="50"/>
      <x:c r="G51" s="50" t="str">
        <x:f>IF(D51="","",D51*E51+F51)</x:f>
      </x:c>
      <x:c r="H51" s="50" t="str">
        <x:f>IFERROR(XLOOKUP(B51,'30th Products'!B:B,'30th Products'!C:C),"")</x:f>
      </x:c>
      <x:c r="I51" s="52" t="str">
        <x:f>IFERROR(E51/H51-1,"")</x:f>
      </x:c>
      <x:c r="J51" s="50"/>
      <x:c r="K51" s="50" t="str">
        <x:f>IF(D51="","",D51*J51)</x:f>
      </x:c>
      <x:c r="L51" s="50" t="str">
        <x:f>IF(K51="","",K51-G51)</x:f>
      </x:c>
      <x:c r="M51" t="str">
        <x:f>IFERROR(XLOOKUP(B51,'30th Products'!B:B,'30th Products'!E:E),"")</x:f>
      </x:c>
      <x:c r="N51"/>
      <x:c r="O51" s="31"/>
    </x:row>
    <x:row r="52">
      <x:c r="A52" s="48"/>
      <x:c r="B52"/>
      <x:c r="C52"/>
      <x:c r="D52"/>
      <x:c r="E52" s="50"/>
      <x:c r="F52" s="50"/>
      <x:c r="G52" s="50" t="str">
        <x:f>IF(D52="","",D52*E52+F52)</x:f>
      </x:c>
      <x:c r="H52" s="50" t="str">
        <x:f>IFERROR(XLOOKUP(B52,'30th Products'!B:B,'30th Products'!C:C),"")</x:f>
      </x:c>
      <x:c r="I52" s="52" t="str">
        <x:f>IFERROR(E52/H52-1,"")</x:f>
      </x:c>
      <x:c r="J52" s="50"/>
      <x:c r="K52" s="50" t="str">
        <x:f>IF(D52="","",D52*J52)</x:f>
      </x:c>
      <x:c r="L52" s="50" t="str">
        <x:f>IF(K52="","",K52-G52)</x:f>
      </x:c>
      <x:c r="M52" t="str">
        <x:f>IFERROR(XLOOKUP(B52,'30th Products'!B:B,'30th Products'!E:E),"")</x:f>
      </x:c>
      <x:c r="N52"/>
      <x:c r="O52" s="31"/>
    </x:row>
    <x:row r="53">
      <x:c r="A53" s="48"/>
      <x:c r="B53"/>
      <x:c r="C53"/>
      <x:c r="D53"/>
      <x:c r="E53" s="50"/>
      <x:c r="F53" s="50"/>
      <x:c r="G53" s="50" t="str">
        <x:f>IF(D53="","",D53*E53+F53)</x:f>
      </x:c>
      <x:c r="H53" s="50" t="str">
        <x:f>IFERROR(XLOOKUP(B53,'30th Products'!B:B,'30th Products'!C:C),"")</x:f>
      </x:c>
      <x:c r="I53" s="52" t="str">
        <x:f>IFERROR(E53/H53-1,"")</x:f>
      </x:c>
      <x:c r="J53" s="50"/>
      <x:c r="K53" s="50" t="str">
        <x:f>IF(D53="","",D53*J53)</x:f>
      </x:c>
      <x:c r="L53" s="50" t="str">
        <x:f>IF(K53="","",K53-G53)</x:f>
      </x:c>
      <x:c r="M53" t="str">
        <x:f>IFERROR(XLOOKUP(B53,'30th Products'!B:B,'30th Products'!E:E),"")</x:f>
      </x:c>
      <x:c r="N53"/>
      <x:c r="O53" s="31"/>
    </x:row>
    <x:row r="54">
      <x:c r="A54" s="48"/>
      <x:c r="B54"/>
      <x:c r="C54"/>
      <x:c r="D54"/>
      <x:c r="E54" s="50"/>
      <x:c r="F54" s="50"/>
      <x:c r="G54" s="50" t="str">
        <x:f>IF(D54="","",D54*E54+F54)</x:f>
      </x:c>
      <x:c r="H54" s="50" t="str">
        <x:f>IFERROR(XLOOKUP(B54,'30th Products'!B:B,'30th Products'!C:C),"")</x:f>
      </x:c>
      <x:c r="I54" s="52" t="str">
        <x:f>IFERROR(E54/H54-1,"")</x:f>
      </x:c>
      <x:c r="J54" s="50"/>
      <x:c r="K54" s="50" t="str">
        <x:f>IF(D54="","",D54*J54)</x:f>
      </x:c>
      <x:c r="L54" s="50" t="str">
        <x:f>IF(K54="","",K54-G54)</x:f>
      </x:c>
      <x:c r="M54" t="str">
        <x:f>IFERROR(XLOOKUP(B54,'30th Products'!B:B,'30th Products'!E:E),"")</x:f>
      </x:c>
      <x:c r="N54"/>
      <x:c r="O54" s="31"/>
    </x:row>
    <x:row r="55">
      <x:c r="A55" s="48"/>
      <x:c r="B55"/>
      <x:c r="C55"/>
      <x:c r="D55"/>
      <x:c r="E55" s="50"/>
      <x:c r="F55" s="50"/>
      <x:c r="G55" s="50" t="str">
        <x:f>IF(D55="","",D55*E55+F55)</x:f>
      </x:c>
      <x:c r="H55" s="50" t="str">
        <x:f>IFERROR(XLOOKUP(B55,'30th Products'!B:B,'30th Products'!C:C),"")</x:f>
      </x:c>
      <x:c r="I55" s="52" t="str">
        <x:f>IFERROR(E55/H55-1,"")</x:f>
      </x:c>
      <x:c r="J55" s="50"/>
      <x:c r="K55" s="50" t="str">
        <x:f>IF(D55="","",D55*J55)</x:f>
      </x:c>
      <x:c r="L55" s="50" t="str">
        <x:f>IF(K55="","",K55-G55)</x:f>
      </x:c>
      <x:c r="M55" t="str">
        <x:f>IFERROR(XLOOKUP(B55,'30th Products'!B:B,'30th Products'!E:E),"")</x:f>
      </x:c>
      <x:c r="N55"/>
      <x:c r="O55" s="31"/>
    </x:row>
    <x:row r="56">
      <x:c r="A56" s="48"/>
      <x:c r="B56"/>
      <x:c r="C56"/>
      <x:c r="D56"/>
      <x:c r="E56" s="50"/>
      <x:c r="F56" s="50"/>
      <x:c r="G56" s="50" t="str">
        <x:f>IF(D56="","",D56*E56+F56)</x:f>
      </x:c>
      <x:c r="H56" s="50" t="str">
        <x:f>IFERROR(XLOOKUP(B56,'30th Products'!B:B,'30th Products'!C:C),"")</x:f>
      </x:c>
      <x:c r="I56" s="52" t="str">
        <x:f>IFERROR(E56/H56-1,"")</x:f>
      </x:c>
      <x:c r="J56" s="50"/>
      <x:c r="K56" s="50" t="str">
        <x:f>IF(D56="","",D56*J56)</x:f>
      </x:c>
      <x:c r="L56" s="50" t="str">
        <x:f>IF(K56="","",K56-G56)</x:f>
      </x:c>
      <x:c r="M56" t="str">
        <x:f>IFERROR(XLOOKUP(B56,'30th Products'!B:B,'30th Products'!E:E),"")</x:f>
      </x:c>
      <x:c r="N56"/>
      <x:c r="O56" s="31"/>
    </x:row>
    <x:row r="57">
      <x:c r="A57" s="48"/>
      <x:c r="B57"/>
      <x:c r="C57"/>
      <x:c r="D57"/>
      <x:c r="E57" s="50"/>
      <x:c r="F57" s="50"/>
      <x:c r="G57" s="50" t="str">
        <x:f>IF(D57="","",D57*E57+F57)</x:f>
      </x:c>
      <x:c r="H57" s="50" t="str">
        <x:f>IFERROR(XLOOKUP(B57,'30th Products'!B:B,'30th Products'!C:C),"")</x:f>
      </x:c>
      <x:c r="I57" s="52" t="str">
        <x:f>IFERROR(E57/H57-1,"")</x:f>
      </x:c>
      <x:c r="J57" s="50"/>
      <x:c r="K57" s="50" t="str">
        <x:f>IF(D57="","",D57*J57)</x:f>
      </x:c>
      <x:c r="L57" s="50" t="str">
        <x:f>IF(K57="","",K57-G57)</x:f>
      </x:c>
      <x:c r="M57" t="str">
        <x:f>IFERROR(XLOOKUP(B57,'30th Products'!B:B,'30th Products'!E:E),"")</x:f>
      </x:c>
      <x:c r="N57"/>
      <x:c r="O57" s="31"/>
    </x:row>
    <x:row r="58">
      <x:c r="A58" s="48"/>
      <x:c r="B58"/>
      <x:c r="C58"/>
      <x:c r="D58"/>
      <x:c r="E58" s="50"/>
      <x:c r="F58" s="50"/>
      <x:c r="G58" s="50" t="str">
        <x:f>IF(D58="","",D58*E58+F58)</x:f>
      </x:c>
      <x:c r="H58" s="50" t="str">
        <x:f>IFERROR(XLOOKUP(B58,'30th Products'!B:B,'30th Products'!C:C),"")</x:f>
      </x:c>
      <x:c r="I58" s="52" t="str">
        <x:f>IFERROR(E58/H58-1,"")</x:f>
      </x:c>
      <x:c r="J58" s="50"/>
      <x:c r="K58" s="50" t="str">
        <x:f>IF(D58="","",D58*J58)</x:f>
      </x:c>
      <x:c r="L58" s="50" t="str">
        <x:f>IF(K58="","",K58-G58)</x:f>
      </x:c>
      <x:c r="M58" t="str">
        <x:f>IFERROR(XLOOKUP(B58,'30th Products'!B:B,'30th Products'!E:E),"")</x:f>
      </x:c>
      <x:c r="N58"/>
      <x:c r="O58" s="31"/>
    </x:row>
    <x:row r="59">
      <x:c r="A59" s="48"/>
      <x:c r="B59"/>
      <x:c r="C59"/>
      <x:c r="D59"/>
      <x:c r="E59" s="50"/>
      <x:c r="F59" s="50"/>
      <x:c r="G59" s="50" t="str">
        <x:f>IF(D59="","",D59*E59+F59)</x:f>
      </x:c>
      <x:c r="H59" s="50" t="str">
        <x:f>IFERROR(XLOOKUP(B59,'30th Products'!B:B,'30th Products'!C:C),"")</x:f>
      </x:c>
      <x:c r="I59" s="52" t="str">
        <x:f>IFERROR(E59/H59-1,"")</x:f>
      </x:c>
      <x:c r="J59" s="50"/>
      <x:c r="K59" s="50" t="str">
        <x:f>IF(D59="","",D59*J59)</x:f>
      </x:c>
      <x:c r="L59" s="50" t="str">
        <x:f>IF(K59="","",K59-G59)</x:f>
      </x:c>
      <x:c r="M59" t="str">
        <x:f>IFERROR(XLOOKUP(B59,'30th Products'!B:B,'30th Products'!E:E),"")</x:f>
      </x:c>
      <x:c r="N59"/>
      <x:c r="O59" s="31"/>
    </x:row>
    <x:row r="60">
      <x:c r="A60" s="48"/>
      <x:c r="B60"/>
      <x:c r="C60"/>
      <x:c r="D60"/>
      <x:c r="E60" s="50"/>
      <x:c r="F60" s="50"/>
      <x:c r="G60" s="50" t="str">
        <x:f>IF(D60="","",D60*E60+F60)</x:f>
      </x:c>
      <x:c r="H60" s="50" t="str">
        <x:f>IFERROR(XLOOKUP(B60,'30th Products'!B:B,'30th Products'!C:C),"")</x:f>
      </x:c>
      <x:c r="I60" s="52" t="str">
        <x:f>IFERROR(E60/H60-1,"")</x:f>
      </x:c>
      <x:c r="J60" s="50"/>
      <x:c r="K60" s="50" t="str">
        <x:f>IF(D60="","",D60*J60)</x:f>
      </x:c>
      <x:c r="L60" s="50" t="str">
        <x:f>IF(K60="","",K60-G60)</x:f>
      </x:c>
      <x:c r="M60" t="str">
        <x:f>IFERROR(XLOOKUP(B60,'30th Products'!B:B,'30th Products'!E:E),"")</x:f>
      </x:c>
      <x:c r="N60"/>
      <x:c r="O60" s="31"/>
    </x:row>
    <x:row r="61">
      <x:c r="A61" s="48"/>
      <x:c r="B61"/>
      <x:c r="C61"/>
      <x:c r="D61"/>
      <x:c r="E61" s="50"/>
      <x:c r="F61" s="50"/>
      <x:c r="G61" s="50" t="str">
        <x:f>IF(D61="","",D61*E61+F61)</x:f>
      </x:c>
      <x:c r="H61" s="50" t="str">
        <x:f>IFERROR(XLOOKUP(B61,'30th Products'!B:B,'30th Products'!C:C),"")</x:f>
      </x:c>
      <x:c r="I61" s="52" t="str">
        <x:f>IFERROR(E61/H61-1,"")</x:f>
      </x:c>
      <x:c r="J61" s="50"/>
      <x:c r="K61" s="50" t="str">
        <x:f>IF(D61="","",D61*J61)</x:f>
      </x:c>
      <x:c r="L61" s="50" t="str">
        <x:f>IF(K61="","",K61-G61)</x:f>
      </x:c>
      <x:c r="M61" t="str">
        <x:f>IFERROR(XLOOKUP(B61,'30th Products'!B:B,'30th Products'!E:E),"")</x:f>
      </x:c>
      <x:c r="N61"/>
      <x:c r="O61" s="31"/>
    </x:row>
    <x:row r="62">
      <x:c r="A62" s="48"/>
      <x:c r="B62"/>
      <x:c r="C62"/>
      <x:c r="D62"/>
      <x:c r="E62" s="50"/>
      <x:c r="F62" s="50"/>
      <x:c r="G62" s="50" t="str">
        <x:f>IF(D62="","",D62*E62+F62)</x:f>
      </x:c>
      <x:c r="H62" s="50" t="str">
        <x:f>IFERROR(XLOOKUP(B62,'30th Products'!B:B,'30th Products'!C:C),"")</x:f>
      </x:c>
      <x:c r="I62" s="52" t="str">
        <x:f>IFERROR(E62/H62-1,"")</x:f>
      </x:c>
      <x:c r="J62" s="50"/>
      <x:c r="K62" s="50" t="str">
        <x:f>IF(D62="","",D62*J62)</x:f>
      </x:c>
      <x:c r="L62" s="50" t="str">
        <x:f>IF(K62="","",K62-G62)</x:f>
      </x:c>
      <x:c r="M62" t="str">
        <x:f>IFERROR(XLOOKUP(B62,'30th Products'!B:B,'30th Products'!E:E),"")</x:f>
      </x:c>
      <x:c r="N62"/>
      <x:c r="O62" s="31"/>
    </x:row>
    <x:row r="63">
      <x:c r="A63" s="48"/>
      <x:c r="B63"/>
      <x:c r="C63"/>
      <x:c r="D63"/>
      <x:c r="E63" s="50"/>
      <x:c r="F63" s="50"/>
      <x:c r="G63" s="50" t="str">
        <x:f>IF(D63="","",D63*E63+F63)</x:f>
      </x:c>
      <x:c r="H63" s="50" t="str">
        <x:f>IFERROR(XLOOKUP(B63,'30th Products'!B:B,'30th Products'!C:C),"")</x:f>
      </x:c>
      <x:c r="I63" s="52" t="str">
        <x:f>IFERROR(E63/H63-1,"")</x:f>
      </x:c>
      <x:c r="J63" s="50"/>
      <x:c r="K63" s="50" t="str">
        <x:f>IF(D63="","",D63*J63)</x:f>
      </x:c>
      <x:c r="L63" s="50" t="str">
        <x:f>IF(K63="","",K63-G63)</x:f>
      </x:c>
      <x:c r="M63" t="str">
        <x:f>IFERROR(XLOOKUP(B63,'30th Products'!B:B,'30th Products'!E:E),"")</x:f>
      </x:c>
      <x:c r="N63"/>
      <x:c r="O63" s="31"/>
    </x:row>
    <x:row r="64">
      <x:c r="A64" s="48"/>
      <x:c r="B64"/>
      <x:c r="C64"/>
      <x:c r="D64"/>
      <x:c r="E64" s="50"/>
      <x:c r="F64" s="50"/>
      <x:c r="G64" s="50" t="str">
        <x:f>IF(D64="","",D64*E64+F64)</x:f>
      </x:c>
      <x:c r="H64" s="50" t="str">
        <x:f>IFERROR(XLOOKUP(B64,'30th Products'!B:B,'30th Products'!C:C),"")</x:f>
      </x:c>
      <x:c r="I64" s="52" t="str">
        <x:f>IFERROR(E64/H64-1,"")</x:f>
      </x:c>
      <x:c r="J64" s="50"/>
      <x:c r="K64" s="50" t="str">
        <x:f>IF(D64="","",D64*J64)</x:f>
      </x:c>
      <x:c r="L64" s="50" t="str">
        <x:f>IF(K64="","",K64-G64)</x:f>
      </x:c>
      <x:c r="M64" t="str">
        <x:f>IFERROR(XLOOKUP(B64,'30th Products'!B:B,'30th Products'!E:E),"")</x:f>
      </x:c>
      <x:c r="N64"/>
      <x:c r="O64" s="31"/>
    </x:row>
    <x:row r="65">
      <x:c r="A65" s="48"/>
      <x:c r="B65"/>
      <x:c r="C65"/>
      <x:c r="D65"/>
      <x:c r="E65" s="50"/>
      <x:c r="F65" s="50"/>
      <x:c r="G65" s="50" t="str">
        <x:f>IF(D65="","",D65*E65+F65)</x:f>
      </x:c>
      <x:c r="H65" s="50" t="str">
        <x:f>IFERROR(XLOOKUP(B65,'30th Products'!B:B,'30th Products'!C:C),"")</x:f>
      </x:c>
      <x:c r="I65" s="52" t="str">
        <x:f>IFERROR(E65/H65-1,"")</x:f>
      </x:c>
      <x:c r="J65" s="50"/>
      <x:c r="K65" s="50" t="str">
        <x:f>IF(D65="","",D65*J65)</x:f>
      </x:c>
      <x:c r="L65" s="50" t="str">
        <x:f>IF(K65="","",K65-G65)</x:f>
      </x:c>
      <x:c r="M65" t="str">
        <x:f>IFERROR(XLOOKUP(B65,'30th Products'!B:B,'30th Products'!E:E),"")</x:f>
      </x:c>
      <x:c r="N65"/>
      <x:c r="O65" s="31"/>
    </x:row>
    <x:row r="66">
      <x:c r="A66" s="48"/>
      <x:c r="B66"/>
      <x:c r="C66"/>
      <x:c r="D66"/>
      <x:c r="E66" s="50"/>
      <x:c r="F66" s="50"/>
      <x:c r="G66" s="50" t="str">
        <x:f>IF(D66="","",D66*E66+F66)</x:f>
      </x:c>
      <x:c r="H66" s="50" t="str">
        <x:f>IFERROR(XLOOKUP(B66,'30th Products'!B:B,'30th Products'!C:C),"")</x:f>
      </x:c>
      <x:c r="I66" s="52" t="str">
        <x:f>IFERROR(E66/H66-1,"")</x:f>
      </x:c>
      <x:c r="J66" s="50"/>
      <x:c r="K66" s="50" t="str">
        <x:f>IF(D66="","",D66*J66)</x:f>
      </x:c>
      <x:c r="L66" s="50" t="str">
        <x:f>IF(K66="","",K66-G66)</x:f>
      </x:c>
      <x:c r="M66" t="str">
        <x:f>IFERROR(XLOOKUP(B66,'30th Products'!B:B,'30th Products'!E:E),"")</x:f>
      </x:c>
      <x:c r="N66"/>
      <x:c r="O66" s="31"/>
    </x:row>
    <x:row r="67">
      <x:c r="A67" s="48"/>
      <x:c r="B67"/>
      <x:c r="C67"/>
      <x:c r="D67"/>
      <x:c r="E67" s="50"/>
      <x:c r="F67" s="50"/>
      <x:c r="G67" s="50" t="str">
        <x:f>IF(D67="","",D67*E67+F67)</x:f>
      </x:c>
      <x:c r="H67" s="50" t="str">
        <x:f>IFERROR(XLOOKUP(B67,'30th Products'!B:B,'30th Products'!C:C),"")</x:f>
      </x:c>
      <x:c r="I67" s="52" t="str">
        <x:f>IFERROR(E67/H67-1,"")</x:f>
      </x:c>
      <x:c r="J67" s="50"/>
      <x:c r="K67" s="50" t="str">
        <x:f>IF(D67="","",D67*J67)</x:f>
      </x:c>
      <x:c r="L67" s="50" t="str">
        <x:f>IF(K67="","",K67-G67)</x:f>
      </x:c>
      <x:c r="M67" t="str">
        <x:f>IFERROR(XLOOKUP(B67,'30th Products'!B:B,'30th Products'!E:E),"")</x:f>
      </x:c>
      <x:c r="N67"/>
      <x:c r="O67" s="31"/>
    </x:row>
    <x:row r="68">
      <x:c r="A68" s="48"/>
      <x:c r="B68"/>
      <x:c r="C68"/>
      <x:c r="D68"/>
      <x:c r="E68" s="50"/>
      <x:c r="F68" s="50"/>
      <x:c r="G68" s="50" t="str">
        <x:f>IF(D68="","",D68*E68+F68)</x:f>
      </x:c>
      <x:c r="H68" s="50" t="str">
        <x:f>IFERROR(XLOOKUP(B68,'30th Products'!B:B,'30th Products'!C:C),"")</x:f>
      </x:c>
      <x:c r="I68" s="52" t="str">
        <x:f>IFERROR(E68/H68-1,"")</x:f>
      </x:c>
      <x:c r="J68" s="50"/>
      <x:c r="K68" s="50" t="str">
        <x:f>IF(D68="","",D68*J68)</x:f>
      </x:c>
      <x:c r="L68" s="50" t="str">
        <x:f>IF(K68="","",K68-G68)</x:f>
      </x:c>
      <x:c r="M68" t="str">
        <x:f>IFERROR(XLOOKUP(B68,'30th Products'!B:B,'30th Products'!E:E),"")</x:f>
      </x:c>
      <x:c r="N68"/>
      <x:c r="O68" s="31"/>
    </x:row>
    <x:row r="69">
      <x:c r="A69" s="48"/>
      <x:c r="B69"/>
      <x:c r="C69"/>
      <x:c r="D69"/>
      <x:c r="E69" s="50"/>
      <x:c r="F69" s="50"/>
      <x:c r="G69" s="50" t="str">
        <x:f>IF(D69="","",D69*E69+F69)</x:f>
      </x:c>
      <x:c r="H69" s="50" t="str">
        <x:f>IFERROR(XLOOKUP(B69,'30th Products'!B:B,'30th Products'!C:C),"")</x:f>
      </x:c>
      <x:c r="I69" s="52" t="str">
        <x:f>IFERROR(E69/H69-1,"")</x:f>
      </x:c>
      <x:c r="J69" s="50"/>
      <x:c r="K69" s="50" t="str">
        <x:f>IF(D69="","",D69*J69)</x:f>
      </x:c>
      <x:c r="L69" s="50" t="str">
        <x:f>IF(K69="","",K69-G69)</x:f>
      </x:c>
      <x:c r="M69" t="str">
        <x:f>IFERROR(XLOOKUP(B69,'30th Products'!B:B,'30th Products'!E:E),"")</x:f>
      </x:c>
      <x:c r="N69"/>
      <x:c r="O69" s="31"/>
    </x:row>
    <x:row r="70">
      <x:c r="A70" s="48"/>
      <x:c r="B70"/>
      <x:c r="C70"/>
      <x:c r="D70"/>
      <x:c r="E70" s="50"/>
      <x:c r="F70" s="50"/>
      <x:c r="G70" s="50" t="str">
        <x:f>IF(D70="","",D70*E70+F70)</x:f>
      </x:c>
      <x:c r="H70" s="50" t="str">
        <x:f>IFERROR(XLOOKUP(B70,'30th Products'!B:B,'30th Products'!C:C),"")</x:f>
      </x:c>
      <x:c r="I70" s="52" t="str">
        <x:f>IFERROR(E70/H70-1,"")</x:f>
      </x:c>
      <x:c r="J70" s="50"/>
      <x:c r="K70" s="50" t="str">
        <x:f>IF(D70="","",D70*J70)</x:f>
      </x:c>
      <x:c r="L70" s="50" t="str">
        <x:f>IF(K70="","",K70-G70)</x:f>
      </x:c>
      <x:c r="M70" t="str">
        <x:f>IFERROR(XLOOKUP(B70,'30th Products'!B:B,'30th Products'!E:E),"")</x:f>
      </x:c>
      <x:c r="N70"/>
      <x:c r="O70" s="31"/>
    </x:row>
    <x:row r="71">
      <x:c r="A71" s="48"/>
      <x:c r="B71"/>
      <x:c r="C71"/>
      <x:c r="D71"/>
      <x:c r="E71" s="50"/>
      <x:c r="F71" s="50"/>
      <x:c r="G71" s="50" t="str">
        <x:f>IF(D71="","",D71*E71+F71)</x:f>
      </x:c>
      <x:c r="H71" s="50" t="str">
        <x:f>IFERROR(XLOOKUP(B71,'30th Products'!B:B,'30th Products'!C:C),"")</x:f>
      </x:c>
      <x:c r="I71" s="52" t="str">
        <x:f>IFERROR(E71/H71-1,"")</x:f>
      </x:c>
      <x:c r="J71" s="50"/>
      <x:c r="K71" s="50" t="str">
        <x:f>IF(D71="","",D71*J71)</x:f>
      </x:c>
      <x:c r="L71" s="50" t="str">
        <x:f>IF(K71="","",K71-G71)</x:f>
      </x:c>
      <x:c r="M71" t="str">
        <x:f>IFERROR(XLOOKUP(B71,'30th Products'!B:B,'30th Products'!E:E),"")</x:f>
      </x:c>
      <x:c r="N71"/>
      <x:c r="O71" s="31"/>
    </x:row>
    <x:row r="72">
      <x:c r="A72" s="48"/>
      <x:c r="B72"/>
      <x:c r="C72"/>
      <x:c r="D72"/>
      <x:c r="E72" s="50"/>
      <x:c r="F72" s="50"/>
      <x:c r="G72" s="50" t="str">
        <x:f>IF(D72="","",D72*E72+F72)</x:f>
      </x:c>
      <x:c r="H72" s="50" t="str">
        <x:f>IFERROR(XLOOKUP(B72,'30th Products'!B:B,'30th Products'!C:C),"")</x:f>
      </x:c>
      <x:c r="I72" s="52" t="str">
        <x:f>IFERROR(E72/H72-1,"")</x:f>
      </x:c>
      <x:c r="J72" s="50"/>
      <x:c r="K72" s="50" t="str">
        <x:f>IF(D72="","",D72*J72)</x:f>
      </x:c>
      <x:c r="L72" s="50" t="str">
        <x:f>IF(K72="","",K72-G72)</x:f>
      </x:c>
      <x:c r="M72" t="str">
        <x:f>IFERROR(XLOOKUP(B72,'30th Products'!B:B,'30th Products'!E:E),"")</x:f>
      </x:c>
      <x:c r="N72"/>
      <x:c r="O72" s="31"/>
    </x:row>
    <x:row r="73">
      <x:c r="A73" s="48"/>
      <x:c r="B73"/>
      <x:c r="C73"/>
      <x:c r="D73"/>
      <x:c r="E73" s="50"/>
      <x:c r="F73" s="50"/>
      <x:c r="G73" s="50" t="str">
        <x:f>IF(D73="","",D73*E73+F73)</x:f>
      </x:c>
      <x:c r="H73" s="50" t="str">
        <x:f>IFERROR(XLOOKUP(B73,'30th Products'!B:B,'30th Products'!C:C),"")</x:f>
      </x:c>
      <x:c r="I73" s="52" t="str">
        <x:f>IFERROR(E73/H73-1,"")</x:f>
      </x:c>
      <x:c r="J73" s="50"/>
      <x:c r="K73" s="50" t="str">
        <x:f>IF(D73="","",D73*J73)</x:f>
      </x:c>
      <x:c r="L73" s="50" t="str">
        <x:f>IF(K73="","",K73-G73)</x:f>
      </x:c>
      <x:c r="M73" t="str">
        <x:f>IFERROR(XLOOKUP(B73,'30th Products'!B:B,'30th Products'!E:E),"")</x:f>
      </x:c>
      <x:c r="N73"/>
      <x:c r="O73" s="31"/>
    </x:row>
    <x:row r="74">
      <x:c r="A74" s="48"/>
      <x:c r="B74"/>
      <x:c r="C74"/>
      <x:c r="D74"/>
      <x:c r="E74" s="50"/>
      <x:c r="F74" s="50"/>
      <x:c r="G74" s="50" t="str">
        <x:f>IF(D74="","",D74*E74+F74)</x:f>
      </x:c>
      <x:c r="H74" s="50" t="str">
        <x:f>IFERROR(XLOOKUP(B74,'30th Products'!B:B,'30th Products'!C:C),"")</x:f>
      </x:c>
      <x:c r="I74" s="52" t="str">
        <x:f>IFERROR(E74/H74-1,"")</x:f>
      </x:c>
      <x:c r="J74" s="50"/>
      <x:c r="K74" s="50" t="str">
        <x:f>IF(D74="","",D74*J74)</x:f>
      </x:c>
      <x:c r="L74" s="50" t="str">
        <x:f>IF(K74="","",K74-G74)</x:f>
      </x:c>
      <x:c r="M74" t="str">
        <x:f>IFERROR(XLOOKUP(B74,'30th Products'!B:B,'30th Products'!E:E),"")</x:f>
      </x:c>
      <x:c r="N74"/>
      <x:c r="O74" s="31"/>
    </x:row>
    <x:row r="75">
      <x:c r="A75" s="48"/>
      <x:c r="B75"/>
      <x:c r="C75"/>
      <x:c r="D75"/>
      <x:c r="E75" s="50"/>
      <x:c r="F75" s="50"/>
      <x:c r="G75" s="50" t="str">
        <x:f>IF(D75="","",D75*E75+F75)</x:f>
      </x:c>
      <x:c r="H75" s="50" t="str">
        <x:f>IFERROR(XLOOKUP(B75,'30th Products'!B:B,'30th Products'!C:C),"")</x:f>
      </x:c>
      <x:c r="I75" s="52" t="str">
        <x:f>IFERROR(E75/H75-1,"")</x:f>
      </x:c>
      <x:c r="J75" s="50"/>
      <x:c r="K75" s="50" t="str">
        <x:f>IF(D75="","",D75*J75)</x:f>
      </x:c>
      <x:c r="L75" s="50" t="str">
        <x:f>IF(K75="","",K75-G75)</x:f>
      </x:c>
      <x:c r="M75" t="str">
        <x:f>IFERROR(XLOOKUP(B75,'30th Products'!B:B,'30th Products'!E:E),"")</x:f>
      </x:c>
      <x:c r="N75"/>
      <x:c r="O75" s="31"/>
    </x:row>
    <x:row r="76">
      <x:c r="A76" s="48"/>
      <x:c r="B76"/>
      <x:c r="C76"/>
      <x:c r="D76"/>
      <x:c r="E76" s="50"/>
      <x:c r="F76" s="50"/>
      <x:c r="G76" s="50" t="str">
        <x:f>IF(D76="","",D76*E76+F76)</x:f>
      </x:c>
      <x:c r="H76" s="50" t="str">
        <x:f>IFERROR(XLOOKUP(B76,'30th Products'!B:B,'30th Products'!C:C),"")</x:f>
      </x:c>
      <x:c r="I76" s="52" t="str">
        <x:f>IFERROR(E76/H76-1,"")</x:f>
      </x:c>
      <x:c r="J76" s="50"/>
      <x:c r="K76" s="50" t="str">
        <x:f>IF(D76="","",D76*J76)</x:f>
      </x:c>
      <x:c r="L76" s="50" t="str">
        <x:f>IF(K76="","",K76-G76)</x:f>
      </x:c>
      <x:c r="M76" t="str">
        <x:f>IFERROR(XLOOKUP(B76,'30th Products'!B:B,'30th Products'!E:E),"")</x:f>
      </x:c>
      <x:c r="N76"/>
      <x:c r="O76" s="31"/>
    </x:row>
    <x:row r="77">
      <x:c r="A77" s="48"/>
      <x:c r="B77"/>
      <x:c r="C77"/>
      <x:c r="D77"/>
      <x:c r="E77" s="50"/>
      <x:c r="F77" s="50"/>
      <x:c r="G77" s="50" t="str">
        <x:f>IF(D77="","",D77*E77+F77)</x:f>
      </x:c>
      <x:c r="H77" s="50" t="str">
        <x:f>IFERROR(XLOOKUP(B77,'30th Products'!B:B,'30th Products'!C:C),"")</x:f>
      </x:c>
      <x:c r="I77" s="52" t="str">
        <x:f>IFERROR(E77/H77-1,"")</x:f>
      </x:c>
      <x:c r="J77" s="50"/>
      <x:c r="K77" s="50" t="str">
        <x:f>IF(D77="","",D77*J77)</x:f>
      </x:c>
      <x:c r="L77" s="50" t="str">
        <x:f>IF(K77="","",K77-G77)</x:f>
      </x:c>
      <x:c r="M77" t="str">
        <x:f>IFERROR(XLOOKUP(B77,'30th Products'!B:B,'30th Products'!E:E),"")</x:f>
      </x:c>
      <x:c r="N77"/>
      <x:c r="O77" s="31"/>
    </x:row>
    <x:row r="78">
      <x:c r="A78" s="48"/>
      <x:c r="B78"/>
      <x:c r="C78"/>
      <x:c r="D78"/>
      <x:c r="E78" s="50"/>
      <x:c r="F78" s="50"/>
      <x:c r="G78" s="50" t="str">
        <x:f>IF(D78="","",D78*E78+F78)</x:f>
      </x:c>
      <x:c r="H78" s="50" t="str">
        <x:f>IFERROR(XLOOKUP(B78,'30th Products'!B:B,'30th Products'!C:C),"")</x:f>
      </x:c>
      <x:c r="I78" s="52" t="str">
        <x:f>IFERROR(E78/H78-1,"")</x:f>
      </x:c>
      <x:c r="J78" s="50"/>
      <x:c r="K78" s="50" t="str">
        <x:f>IF(D78="","",D78*J78)</x:f>
      </x:c>
      <x:c r="L78" s="50" t="str">
        <x:f>IF(K78="","",K78-G78)</x:f>
      </x:c>
      <x:c r="M78" t="str">
        <x:f>IFERROR(XLOOKUP(B78,'30th Products'!B:B,'30th Products'!E:E),"")</x:f>
      </x:c>
      <x:c r="N78"/>
      <x:c r="O78" s="31"/>
    </x:row>
    <x:row r="79">
      <x:c r="A79" s="48"/>
      <x:c r="B79"/>
      <x:c r="C79"/>
      <x:c r="D79"/>
      <x:c r="E79" s="50"/>
      <x:c r="F79" s="50"/>
      <x:c r="G79" s="50" t="str">
        <x:f>IF(D79="","",D79*E79+F79)</x:f>
      </x:c>
      <x:c r="H79" s="50" t="str">
        <x:f>IFERROR(XLOOKUP(B79,'30th Products'!B:B,'30th Products'!C:C),"")</x:f>
      </x:c>
      <x:c r="I79" s="52" t="str">
        <x:f>IFERROR(E79/H79-1,"")</x:f>
      </x:c>
      <x:c r="J79" s="50"/>
      <x:c r="K79" s="50" t="str">
        <x:f>IF(D79="","",D79*J79)</x:f>
      </x:c>
      <x:c r="L79" s="50" t="str">
        <x:f>IF(K79="","",K79-G79)</x:f>
      </x:c>
      <x:c r="M79" t="str">
        <x:f>IFERROR(XLOOKUP(B79,'30th Products'!B:B,'30th Products'!E:E),"")</x:f>
      </x:c>
      <x:c r="N79"/>
      <x:c r="O79" s="31"/>
    </x:row>
    <x:row r="80">
      <x:c r="A80" s="48"/>
      <x:c r="B80"/>
      <x:c r="C80"/>
      <x:c r="D80"/>
      <x:c r="E80" s="50"/>
      <x:c r="F80" s="50"/>
      <x:c r="G80" s="50" t="str">
        <x:f>IF(D80="","",D80*E80+F80)</x:f>
      </x:c>
      <x:c r="H80" s="50" t="str">
        <x:f>IFERROR(XLOOKUP(B80,'30th Products'!B:B,'30th Products'!C:C),"")</x:f>
      </x:c>
      <x:c r="I80" s="52" t="str">
        <x:f>IFERROR(E80/H80-1,"")</x:f>
      </x:c>
      <x:c r="J80" s="50"/>
      <x:c r="K80" s="50" t="str">
        <x:f>IF(D80="","",D80*J80)</x:f>
      </x:c>
      <x:c r="L80" s="50" t="str">
        <x:f>IF(K80="","",K80-G80)</x:f>
      </x:c>
      <x:c r="M80" t="str">
        <x:f>IFERROR(XLOOKUP(B80,'30th Products'!B:B,'30th Products'!E:E),"")</x:f>
      </x:c>
      <x:c r="N80"/>
      <x:c r="O80" s="31"/>
    </x:row>
    <x:row r="81">
      <x:c r="A81" s="48"/>
      <x:c r="B81"/>
      <x:c r="C81"/>
      <x:c r="D81"/>
      <x:c r="E81" s="50"/>
      <x:c r="F81" s="50"/>
      <x:c r="G81" s="50" t="str">
        <x:f>IF(D81="","",D81*E81+F81)</x:f>
      </x:c>
      <x:c r="H81" s="50" t="str">
        <x:f>IFERROR(XLOOKUP(B81,'30th Products'!B:B,'30th Products'!C:C),"")</x:f>
      </x:c>
      <x:c r="I81" s="52" t="str">
        <x:f>IFERROR(E81/H81-1,"")</x:f>
      </x:c>
      <x:c r="J81" s="50"/>
      <x:c r="K81" s="50" t="str">
        <x:f>IF(D81="","",D81*J81)</x:f>
      </x:c>
      <x:c r="L81" s="50" t="str">
        <x:f>IF(K81="","",K81-G81)</x:f>
      </x:c>
      <x:c r="M81" t="str">
        <x:f>IFERROR(XLOOKUP(B81,'30th Products'!B:B,'30th Products'!E:E),"")</x:f>
      </x:c>
      <x:c r="N81"/>
      <x:c r="O81" s="31"/>
    </x:row>
    <x:row r="82">
      <x:c r="A82" s="48"/>
      <x:c r="B82"/>
      <x:c r="C82"/>
      <x:c r="D82"/>
      <x:c r="E82" s="50"/>
      <x:c r="F82" s="50"/>
      <x:c r="G82" s="50" t="str">
        <x:f>IF(D82="","",D82*E82+F82)</x:f>
      </x:c>
      <x:c r="H82" s="50" t="str">
        <x:f>IFERROR(XLOOKUP(B82,'30th Products'!B:B,'30th Products'!C:C),"")</x:f>
      </x:c>
      <x:c r="I82" s="52" t="str">
        <x:f>IFERROR(E82/H82-1,"")</x:f>
      </x:c>
      <x:c r="J82" s="50"/>
      <x:c r="K82" s="50" t="str">
        <x:f>IF(D82="","",D82*J82)</x:f>
      </x:c>
      <x:c r="L82" s="50" t="str">
        <x:f>IF(K82="","",K82-G82)</x:f>
      </x:c>
      <x:c r="M82" t="str">
        <x:f>IFERROR(XLOOKUP(B82,'30th Products'!B:B,'30th Products'!E:E),"")</x:f>
      </x:c>
      <x:c r="N82"/>
      <x:c r="O82" s="31"/>
    </x:row>
    <x:row r="83">
      <x:c r="A83" s="48"/>
      <x:c r="B83"/>
      <x:c r="C83"/>
      <x:c r="D83"/>
      <x:c r="E83" s="50"/>
      <x:c r="F83" s="50"/>
      <x:c r="G83" s="50" t="str">
        <x:f>IF(D83="","",D83*E83+F83)</x:f>
      </x:c>
      <x:c r="H83" s="50" t="str">
        <x:f>IFERROR(XLOOKUP(B83,'30th Products'!B:B,'30th Products'!C:C),"")</x:f>
      </x:c>
      <x:c r="I83" s="52" t="str">
        <x:f>IFERROR(E83/H83-1,"")</x:f>
      </x:c>
      <x:c r="J83" s="50"/>
      <x:c r="K83" s="50" t="str">
        <x:f>IF(D83="","",D83*J83)</x:f>
      </x:c>
      <x:c r="L83" s="50" t="str">
        <x:f>IF(K83="","",K83-G83)</x:f>
      </x:c>
      <x:c r="M83" t="str">
        <x:f>IFERROR(XLOOKUP(B83,'30th Products'!B:B,'30th Products'!E:E),"")</x:f>
      </x:c>
      <x:c r="N83"/>
      <x:c r="O83" s="31"/>
    </x:row>
    <x:row r="84">
      <x:c r="A84" s="48"/>
      <x:c r="B84"/>
      <x:c r="C84"/>
      <x:c r="D84"/>
      <x:c r="E84" s="50"/>
      <x:c r="F84" s="50"/>
      <x:c r="G84" s="50" t="str">
        <x:f>IF(D84="","",D84*E84+F84)</x:f>
      </x:c>
      <x:c r="H84" s="50" t="str">
        <x:f>IFERROR(XLOOKUP(B84,'30th Products'!B:B,'30th Products'!C:C),"")</x:f>
      </x:c>
      <x:c r="I84" s="52" t="str">
        <x:f>IFERROR(E84/H84-1,"")</x:f>
      </x:c>
      <x:c r="J84" s="50"/>
      <x:c r="K84" s="50" t="str">
        <x:f>IF(D84="","",D84*J84)</x:f>
      </x:c>
      <x:c r="L84" s="50" t="str">
        <x:f>IF(K84="","",K84-G84)</x:f>
      </x:c>
      <x:c r="M84" t="str">
        <x:f>IFERROR(XLOOKUP(B84,'30th Products'!B:B,'30th Products'!E:E),"")</x:f>
      </x:c>
      <x:c r="N84"/>
      <x:c r="O84" s="31"/>
    </x:row>
    <x:row r="85">
      <x:c r="A85" s="48"/>
      <x:c r="B85"/>
      <x:c r="C85"/>
      <x:c r="D85"/>
      <x:c r="E85" s="50"/>
      <x:c r="F85" s="50"/>
      <x:c r="G85" s="50" t="str">
        <x:f>IF(D85="","",D85*E85+F85)</x:f>
      </x:c>
      <x:c r="H85" s="50" t="str">
        <x:f>IFERROR(XLOOKUP(B85,'30th Products'!B:B,'30th Products'!C:C),"")</x:f>
      </x:c>
      <x:c r="I85" s="52" t="str">
        <x:f>IFERROR(E85/H85-1,"")</x:f>
      </x:c>
      <x:c r="J85" s="50"/>
      <x:c r="K85" s="50" t="str">
        <x:f>IF(D85="","",D85*J85)</x:f>
      </x:c>
      <x:c r="L85" s="50" t="str">
        <x:f>IF(K85="","",K85-G85)</x:f>
      </x:c>
      <x:c r="M85" t="str">
        <x:f>IFERROR(XLOOKUP(B85,'30th Products'!B:B,'30th Products'!E:E),"")</x:f>
      </x:c>
      <x:c r="N85"/>
      <x:c r="O85" s="31"/>
    </x:row>
    <x:row r="86">
      <x:c r="A86" s="48"/>
      <x:c r="B86"/>
      <x:c r="C86"/>
      <x:c r="D86"/>
      <x:c r="E86" s="50"/>
      <x:c r="F86" s="50"/>
      <x:c r="G86" s="50" t="str">
        <x:f>IF(D86="","",D86*E86+F86)</x:f>
      </x:c>
      <x:c r="H86" s="50" t="str">
        <x:f>IFERROR(XLOOKUP(B86,'30th Products'!B:B,'30th Products'!C:C),"")</x:f>
      </x:c>
      <x:c r="I86" s="52" t="str">
        <x:f>IFERROR(E86/H86-1,"")</x:f>
      </x:c>
      <x:c r="J86" s="50"/>
      <x:c r="K86" s="50" t="str">
        <x:f>IF(D86="","",D86*J86)</x:f>
      </x:c>
      <x:c r="L86" s="50" t="str">
        <x:f>IF(K86="","",K86-G86)</x:f>
      </x:c>
      <x:c r="M86" t="str">
        <x:f>IFERROR(XLOOKUP(B86,'30th Products'!B:B,'30th Products'!E:E),"")</x:f>
      </x:c>
      <x:c r="N86"/>
      <x:c r="O86" s="31"/>
    </x:row>
    <x:row r="87">
      <x:c r="A87" s="48"/>
      <x:c r="B87"/>
      <x:c r="C87"/>
      <x:c r="D87"/>
      <x:c r="E87" s="50"/>
      <x:c r="F87" s="50"/>
      <x:c r="G87" s="50" t="str">
        <x:f>IF(D87="","",D87*E87+F87)</x:f>
      </x:c>
      <x:c r="H87" s="50" t="str">
        <x:f>IFERROR(XLOOKUP(B87,'30th Products'!B:B,'30th Products'!C:C),"")</x:f>
      </x:c>
      <x:c r="I87" s="52" t="str">
        <x:f>IFERROR(E87/H87-1,"")</x:f>
      </x:c>
      <x:c r="J87" s="50"/>
      <x:c r="K87" s="50" t="str">
        <x:f>IF(D87="","",D87*J87)</x:f>
      </x:c>
      <x:c r="L87" s="50" t="str">
        <x:f>IF(K87="","",K87-G87)</x:f>
      </x:c>
      <x:c r="M87" t="str">
        <x:f>IFERROR(XLOOKUP(B87,'30th Products'!B:B,'30th Products'!E:E),"")</x:f>
      </x:c>
      <x:c r="N87"/>
      <x:c r="O87" s="31"/>
    </x:row>
    <x:row r="88">
      <x:c r="A88" s="48"/>
      <x:c r="B88"/>
      <x:c r="C88"/>
      <x:c r="D88"/>
      <x:c r="E88" s="50"/>
      <x:c r="F88" s="50"/>
      <x:c r="G88" s="50" t="str">
        <x:f>IF(D88="","",D88*E88+F88)</x:f>
      </x:c>
      <x:c r="H88" s="50" t="str">
        <x:f>IFERROR(XLOOKUP(B88,'30th Products'!B:B,'30th Products'!C:C),"")</x:f>
      </x:c>
      <x:c r="I88" s="52" t="str">
        <x:f>IFERROR(E88/H88-1,"")</x:f>
      </x:c>
      <x:c r="J88" s="50"/>
      <x:c r="K88" s="50" t="str">
        <x:f>IF(D88="","",D88*J88)</x:f>
      </x:c>
      <x:c r="L88" s="50" t="str">
        <x:f>IF(K88="","",K88-G88)</x:f>
      </x:c>
      <x:c r="M88" t="str">
        <x:f>IFERROR(XLOOKUP(B88,'30th Products'!B:B,'30th Products'!E:E),"")</x:f>
      </x:c>
      <x:c r="N88"/>
      <x:c r="O88" s="31"/>
    </x:row>
    <x:row r="89">
      <x:c r="A89" s="48"/>
      <x:c r="B89"/>
      <x:c r="C89"/>
      <x:c r="D89"/>
      <x:c r="E89" s="50"/>
      <x:c r="F89" s="50"/>
      <x:c r="G89" s="50" t="str">
        <x:f>IF(D89="","",D89*E89+F89)</x:f>
      </x:c>
      <x:c r="H89" s="50" t="str">
        <x:f>IFERROR(XLOOKUP(B89,'30th Products'!B:B,'30th Products'!C:C),"")</x:f>
      </x:c>
      <x:c r="I89" s="52" t="str">
        <x:f>IFERROR(E89/H89-1,"")</x:f>
      </x:c>
      <x:c r="J89" s="50"/>
      <x:c r="K89" s="50" t="str">
        <x:f>IF(D89="","",D89*J89)</x:f>
      </x:c>
      <x:c r="L89" s="50" t="str">
        <x:f>IF(K89="","",K89-G89)</x:f>
      </x:c>
      <x:c r="M89" t="str">
        <x:f>IFERROR(XLOOKUP(B89,'30th Products'!B:B,'30th Products'!E:E),"")</x:f>
      </x:c>
      <x:c r="N89"/>
      <x:c r="O89" s="31"/>
    </x:row>
    <x:row r="90">
      <x:c r="A90" s="48"/>
      <x:c r="B90"/>
      <x:c r="C90"/>
      <x:c r="D90"/>
      <x:c r="E90" s="50"/>
      <x:c r="F90" s="50"/>
      <x:c r="G90" s="50" t="str">
        <x:f>IF(D90="","",D90*E90+F90)</x:f>
      </x:c>
      <x:c r="H90" s="50" t="str">
        <x:f>IFERROR(XLOOKUP(B90,'30th Products'!B:B,'30th Products'!C:C),"")</x:f>
      </x:c>
      <x:c r="I90" s="52" t="str">
        <x:f>IFERROR(E90/H90-1,"")</x:f>
      </x:c>
      <x:c r="J90" s="50"/>
      <x:c r="K90" s="50" t="str">
        <x:f>IF(D90="","",D90*J90)</x:f>
      </x:c>
      <x:c r="L90" s="50" t="str">
        <x:f>IF(K90="","",K90-G90)</x:f>
      </x:c>
      <x:c r="M90" t="str">
        <x:f>IFERROR(XLOOKUP(B90,'30th Products'!B:B,'30th Products'!E:E),"")</x:f>
      </x:c>
      <x:c r="N90"/>
      <x:c r="O90" s="31"/>
    </x:row>
    <x:row r="91">
      <x:c r="A91" s="48"/>
      <x:c r="B91"/>
      <x:c r="C91"/>
      <x:c r="D91"/>
      <x:c r="E91" s="50"/>
      <x:c r="F91" s="50"/>
      <x:c r="G91" s="50" t="str">
        <x:f>IF(D91="","",D91*E91+F91)</x:f>
      </x:c>
      <x:c r="H91" s="50" t="str">
        <x:f>IFERROR(XLOOKUP(B91,'30th Products'!B:B,'30th Products'!C:C),"")</x:f>
      </x:c>
      <x:c r="I91" s="52" t="str">
        <x:f>IFERROR(E91/H91-1,"")</x:f>
      </x:c>
      <x:c r="J91" s="50"/>
      <x:c r="K91" s="50" t="str">
        <x:f>IF(D91="","",D91*J91)</x:f>
      </x:c>
      <x:c r="L91" s="50" t="str">
        <x:f>IF(K91="","",K91-G91)</x:f>
      </x:c>
      <x:c r="M91" t="str">
        <x:f>IFERROR(XLOOKUP(B91,'30th Products'!B:B,'30th Products'!E:E),"")</x:f>
      </x:c>
      <x:c r="N91"/>
      <x:c r="O91" s="31"/>
    </x:row>
    <x:row r="92">
      <x:c r="A92" s="48"/>
      <x:c r="B92"/>
      <x:c r="C92"/>
      <x:c r="D92"/>
      <x:c r="E92" s="50"/>
      <x:c r="F92" s="50"/>
      <x:c r="G92" s="50" t="str">
        <x:f>IF(D92="","",D92*E92+F92)</x:f>
      </x:c>
      <x:c r="H92" s="50" t="str">
        <x:f>IFERROR(XLOOKUP(B92,'30th Products'!B:B,'30th Products'!C:C),"")</x:f>
      </x:c>
      <x:c r="I92" s="52" t="str">
        <x:f>IFERROR(E92/H92-1,"")</x:f>
      </x:c>
      <x:c r="J92" s="50"/>
      <x:c r="K92" s="50" t="str">
        <x:f>IF(D92="","",D92*J92)</x:f>
      </x:c>
      <x:c r="L92" s="50" t="str">
        <x:f>IF(K92="","",K92-G92)</x:f>
      </x:c>
      <x:c r="M92" t="str">
        <x:f>IFERROR(XLOOKUP(B92,'30th Products'!B:B,'30th Products'!E:E),"")</x:f>
      </x:c>
      <x:c r="N92"/>
      <x:c r="O92" s="31"/>
    </x:row>
    <x:row r="93">
      <x:c r="A93" s="48"/>
      <x:c r="B93"/>
      <x:c r="C93"/>
      <x:c r="D93"/>
      <x:c r="E93" s="50"/>
      <x:c r="F93" s="50"/>
      <x:c r="G93" s="50" t="str">
        <x:f>IF(D93="","",D93*E93+F93)</x:f>
      </x:c>
      <x:c r="H93" s="50" t="str">
        <x:f>IFERROR(XLOOKUP(B93,'30th Products'!B:B,'30th Products'!C:C),"")</x:f>
      </x:c>
      <x:c r="I93" s="52" t="str">
        <x:f>IFERROR(E93/H93-1,"")</x:f>
      </x:c>
      <x:c r="J93" s="50"/>
      <x:c r="K93" s="50" t="str">
        <x:f>IF(D93="","",D93*J93)</x:f>
      </x:c>
      <x:c r="L93" s="50" t="str">
        <x:f>IF(K93="","",K93-G93)</x:f>
      </x:c>
      <x:c r="M93" t="str">
        <x:f>IFERROR(XLOOKUP(B93,'30th Products'!B:B,'30th Products'!E:E),"")</x:f>
      </x:c>
      <x:c r="N93"/>
      <x:c r="O93" s="31"/>
    </x:row>
    <x:row r="94">
      <x:c r="A94" s="48"/>
      <x:c r="B94"/>
      <x:c r="C94"/>
      <x:c r="D94"/>
      <x:c r="E94" s="50"/>
      <x:c r="F94" s="50"/>
      <x:c r="G94" s="50" t="str">
        <x:f>IF(D94="","",D94*E94+F94)</x:f>
      </x:c>
      <x:c r="H94" s="50" t="str">
        <x:f>IFERROR(XLOOKUP(B94,'30th Products'!B:B,'30th Products'!C:C),"")</x:f>
      </x:c>
      <x:c r="I94" s="52" t="str">
        <x:f>IFERROR(E94/H94-1,"")</x:f>
      </x:c>
      <x:c r="J94" s="50"/>
      <x:c r="K94" s="50" t="str">
        <x:f>IF(D94="","",D94*J94)</x:f>
      </x:c>
      <x:c r="L94" s="50" t="str">
        <x:f>IF(K94="","",K94-G94)</x:f>
      </x:c>
      <x:c r="M94" t="str">
        <x:f>IFERROR(XLOOKUP(B94,'30th Products'!B:B,'30th Products'!E:E),"")</x:f>
      </x:c>
      <x:c r="N94"/>
      <x:c r="O94" s="31"/>
    </x:row>
    <x:row r="95">
      <x:c r="A95" s="48"/>
      <x:c r="B95"/>
      <x:c r="C95"/>
      <x:c r="D95"/>
      <x:c r="E95" s="50"/>
      <x:c r="F95" s="50"/>
      <x:c r="G95" s="50" t="str">
        <x:f>IF(D95="","",D95*E95+F95)</x:f>
      </x:c>
      <x:c r="H95" s="50" t="str">
        <x:f>IFERROR(XLOOKUP(B95,'30th Products'!B:B,'30th Products'!C:C),"")</x:f>
      </x:c>
      <x:c r="I95" s="52" t="str">
        <x:f>IFERROR(E95/H95-1,"")</x:f>
      </x:c>
      <x:c r="J95" s="50"/>
      <x:c r="K95" s="50" t="str">
        <x:f>IF(D95="","",D95*J95)</x:f>
      </x:c>
      <x:c r="L95" s="50" t="str">
        <x:f>IF(K95="","",K95-G95)</x:f>
      </x:c>
      <x:c r="M95" t="str">
        <x:f>IFERROR(XLOOKUP(B95,'30th Products'!B:B,'30th Products'!E:E),"")</x:f>
      </x:c>
      <x:c r="N95"/>
      <x:c r="O95" s="31"/>
    </x:row>
    <x:row r="96">
      <x:c r="A96" s="48"/>
      <x:c r="B96"/>
      <x:c r="C96"/>
      <x:c r="D96"/>
      <x:c r="E96" s="50"/>
      <x:c r="F96" s="50"/>
      <x:c r="G96" s="50" t="str">
        <x:f>IF(D96="","",D96*E96+F96)</x:f>
      </x:c>
      <x:c r="H96" s="50" t="str">
        <x:f>IFERROR(XLOOKUP(B96,'30th Products'!B:B,'30th Products'!C:C),"")</x:f>
      </x:c>
      <x:c r="I96" s="52" t="str">
        <x:f>IFERROR(E96/H96-1,"")</x:f>
      </x:c>
      <x:c r="J96" s="50"/>
      <x:c r="K96" s="50" t="str">
        <x:f>IF(D96="","",D96*J96)</x:f>
      </x:c>
      <x:c r="L96" s="50" t="str">
        <x:f>IF(K96="","",K96-G96)</x:f>
      </x:c>
      <x:c r="M96" t="str">
        <x:f>IFERROR(XLOOKUP(B96,'30th Products'!B:B,'30th Products'!E:E),"")</x:f>
      </x:c>
      <x:c r="N96"/>
      <x:c r="O96" s="31"/>
    </x:row>
    <x:row r="97">
      <x:c r="A97" s="48"/>
      <x:c r="B97"/>
      <x:c r="C97"/>
      <x:c r="D97"/>
      <x:c r="E97" s="50"/>
      <x:c r="F97" s="50"/>
      <x:c r="G97" s="50" t="str">
        <x:f>IF(D97="","",D97*E97+F97)</x:f>
      </x:c>
      <x:c r="H97" s="50" t="str">
        <x:f>IFERROR(XLOOKUP(B97,'30th Products'!B:B,'30th Products'!C:C),"")</x:f>
      </x:c>
      <x:c r="I97" s="52" t="str">
        <x:f>IFERROR(E97/H97-1,"")</x:f>
      </x:c>
      <x:c r="J97" s="50"/>
      <x:c r="K97" s="50" t="str">
        <x:f>IF(D97="","",D97*J97)</x:f>
      </x:c>
      <x:c r="L97" s="50" t="str">
        <x:f>IF(K97="","",K97-G97)</x:f>
      </x:c>
      <x:c r="M97" t="str">
        <x:f>IFERROR(XLOOKUP(B97,'30th Products'!B:B,'30th Products'!E:E),"")</x:f>
      </x:c>
      <x:c r="N97"/>
      <x:c r="O97" s="31"/>
    </x:row>
    <x:row r="98">
      <x:c r="A98" s="48"/>
      <x:c r="B98"/>
      <x:c r="C98"/>
      <x:c r="D98"/>
      <x:c r="E98" s="50"/>
      <x:c r="F98" s="50"/>
      <x:c r="G98" s="50" t="str">
        <x:f>IF(D98="","",D98*E98+F98)</x:f>
      </x:c>
      <x:c r="H98" s="50" t="str">
        <x:f>IFERROR(XLOOKUP(B98,'30th Products'!B:B,'30th Products'!C:C),"")</x:f>
      </x:c>
      <x:c r="I98" s="52" t="str">
        <x:f>IFERROR(E98/H98-1,"")</x:f>
      </x:c>
      <x:c r="J98" s="50"/>
      <x:c r="K98" s="50" t="str">
        <x:f>IF(D98="","",D98*J98)</x:f>
      </x:c>
      <x:c r="L98" s="50" t="str">
        <x:f>IF(K98="","",K98-G98)</x:f>
      </x:c>
      <x:c r="M98" t="str">
        <x:f>IFERROR(XLOOKUP(B98,'30th Products'!B:B,'30th Products'!E:E),"")</x:f>
      </x:c>
      <x:c r="N98"/>
      <x:c r="O98" s="31"/>
    </x:row>
    <x:row r="99">
      <x:c r="A99" s="48"/>
      <x:c r="B99"/>
      <x:c r="C99"/>
      <x:c r="D99"/>
      <x:c r="E99" s="50"/>
      <x:c r="F99" s="50"/>
      <x:c r="G99" s="50" t="str">
        <x:f>IF(D99="","",D99*E99+F99)</x:f>
      </x:c>
      <x:c r="H99" s="50" t="str">
        <x:f>IFERROR(XLOOKUP(B99,'30th Products'!B:B,'30th Products'!C:C),"")</x:f>
      </x:c>
      <x:c r="I99" s="52" t="str">
        <x:f>IFERROR(E99/H99-1,"")</x:f>
      </x:c>
      <x:c r="J99" s="50"/>
      <x:c r="K99" s="50" t="str">
        <x:f>IF(D99="","",D99*J99)</x:f>
      </x:c>
      <x:c r="L99" s="50" t="str">
        <x:f>IF(K99="","",K99-G99)</x:f>
      </x:c>
      <x:c r="M99" t="str">
        <x:f>IFERROR(XLOOKUP(B99,'30th Products'!B:B,'30th Products'!E:E),"")</x:f>
      </x:c>
      <x:c r="N99"/>
      <x:c r="O99" s="31"/>
    </x:row>
    <x:row r="100">
      <x:c r="A100" s="48"/>
      <x:c r="B100"/>
      <x:c r="C100"/>
      <x:c r="D100"/>
      <x:c r="E100" s="50"/>
      <x:c r="F100" s="50"/>
      <x:c r="G100" s="50" t="str">
        <x:f>IF(D100="","",D100*E100+F100)</x:f>
      </x:c>
      <x:c r="H100" s="50" t="str">
        <x:f>IFERROR(XLOOKUP(B100,'30th Products'!B:B,'30th Products'!C:C),"")</x:f>
      </x:c>
      <x:c r="I100" s="52" t="str">
        <x:f>IFERROR(E100/H100-1,"")</x:f>
      </x:c>
      <x:c r="J100" s="50"/>
      <x:c r="K100" s="50" t="str">
        <x:f>IF(D100="","",D100*J100)</x:f>
      </x:c>
      <x:c r="L100" s="50" t="str">
        <x:f>IF(K100="","",K100-G100)</x:f>
      </x:c>
      <x:c r="M100" t="str">
        <x:f>IFERROR(XLOOKUP(B100,'30th Products'!B:B,'30th Products'!E:E),"")</x:f>
      </x:c>
      <x:c r="N100"/>
      <x:c r="O100" s="31"/>
    </x:row>
    <x:row r="101">
      <x:c r="A101" s="48"/>
      <x:c r="B101"/>
      <x:c r="C101"/>
      <x:c r="D101"/>
      <x:c r="E101" s="50"/>
      <x:c r="F101" s="50"/>
      <x:c r="G101" s="50" t="str">
        <x:f>IF(D101="","",D101*E101+F101)</x:f>
      </x:c>
      <x:c r="H101" s="50" t="str">
        <x:f>IFERROR(XLOOKUP(B101,'30th Products'!B:B,'30th Products'!C:C),"")</x:f>
      </x:c>
      <x:c r="I101" s="52" t="str">
        <x:f>IFERROR(E101/H101-1,"")</x:f>
      </x:c>
      <x:c r="J101" s="50"/>
      <x:c r="K101" s="50" t="str">
        <x:f>IF(D101="","",D101*J101)</x:f>
      </x:c>
      <x:c r="L101" s="50" t="str">
        <x:f>IF(K101="","",K101-G101)</x:f>
      </x:c>
      <x:c r="M101" t="str">
        <x:f>IFERROR(XLOOKUP(B101,'30th Products'!B:B,'30th Products'!E:E),"")</x:f>
      </x:c>
      <x:c r="N101"/>
      <x:c r="O101" s="31"/>
    </x:row>
    <x:row r="102">
      <x:c r="A102" s="48"/>
      <x:c r="B102"/>
      <x:c r="C102"/>
      <x:c r="D102"/>
      <x:c r="E102" s="50"/>
      <x:c r="F102" s="50"/>
      <x:c r="G102" s="50" t="str">
        <x:f>IF(D102="","",D102*E102+F102)</x:f>
      </x:c>
      <x:c r="H102" s="50" t="str">
        <x:f>IFERROR(XLOOKUP(B102,'30th Products'!B:B,'30th Products'!C:C),"")</x:f>
      </x:c>
      <x:c r="I102" s="52" t="str">
        <x:f>IFERROR(E102/H102-1,"")</x:f>
      </x:c>
      <x:c r="J102" s="50"/>
      <x:c r="K102" s="50" t="str">
        <x:f>IF(D102="","",D102*J102)</x:f>
      </x:c>
      <x:c r="L102" s="50" t="str">
        <x:f>IF(K102="","",K102-G102)</x:f>
      </x:c>
      <x:c r="M102" t="str">
        <x:f>IFERROR(XLOOKUP(B102,'30th Products'!B:B,'30th Products'!E:E),"")</x:f>
      </x:c>
      <x:c r="N102"/>
      <x:c r="O102" s="31"/>
    </x:row>
    <x:row r="103">
      <x:c r="A103" s="48"/>
      <x:c r="B103"/>
      <x:c r="C103"/>
      <x:c r="D103"/>
      <x:c r="E103" s="50"/>
      <x:c r="F103" s="50"/>
      <x:c r="G103" s="50" t="str">
        <x:f>IF(D103="","",D103*E103+F103)</x:f>
      </x:c>
      <x:c r="H103" s="50" t="str">
        <x:f>IFERROR(XLOOKUP(B103,'30th Products'!B:B,'30th Products'!C:C),"")</x:f>
      </x:c>
      <x:c r="I103" s="52" t="str">
        <x:f>IFERROR(E103/H103-1,"")</x:f>
      </x:c>
      <x:c r="J103" s="50"/>
      <x:c r="K103" s="50" t="str">
        <x:f>IF(D103="","",D103*J103)</x:f>
      </x:c>
      <x:c r="L103" s="50" t="str">
        <x:f>IF(K103="","",K103-G103)</x:f>
      </x:c>
      <x:c r="M103" t="str">
        <x:f>IFERROR(XLOOKUP(B103,'30th Products'!B:B,'30th Products'!E:E),"")</x:f>
      </x:c>
      <x:c r="N103"/>
      <x:c r="O103" s="31"/>
    </x:row>
    <x:row r="104">
      <x:c r="A104" s="48"/>
      <x:c r="B104"/>
      <x:c r="C104"/>
      <x:c r="D104"/>
      <x:c r="E104" s="50"/>
      <x:c r="F104" s="50"/>
      <x:c r="G104" s="50" t="str">
        <x:f>IF(D104="","",D104*E104+F104)</x:f>
      </x:c>
      <x:c r="H104" s="50" t="str">
        <x:f>IFERROR(XLOOKUP(B104,'30th Products'!B:B,'30th Products'!C:C),"")</x:f>
      </x:c>
      <x:c r="I104" s="52" t="str">
        <x:f>IFERROR(E104/H104-1,"")</x:f>
      </x:c>
      <x:c r="J104" s="50"/>
      <x:c r="K104" s="50" t="str">
        <x:f>IF(D104="","",D104*J104)</x:f>
      </x:c>
      <x:c r="L104" s="50" t="str">
        <x:f>IF(K104="","",K104-G104)</x:f>
      </x:c>
      <x:c r="M104" t="str">
        <x:f>IFERROR(XLOOKUP(B104,'30th Products'!B:B,'30th Products'!E:E),"")</x:f>
      </x:c>
      <x:c r="N104"/>
      <x:c r="O104" s="31"/>
    </x:row>
    <x:row r="105">
      <x:c r="A105" s="48"/>
      <x:c r="B105"/>
      <x:c r="C105"/>
      <x:c r="D105"/>
      <x:c r="E105" s="50"/>
      <x:c r="F105" s="50"/>
      <x:c r="G105" s="50" t="str">
        <x:f>IF(D105="","",D105*E105+F105)</x:f>
      </x:c>
      <x:c r="H105" s="50" t="str">
        <x:f>IFERROR(XLOOKUP(B105,'30th Products'!B:B,'30th Products'!C:C),"")</x:f>
      </x:c>
      <x:c r="I105" s="52" t="str">
        <x:f>IFERROR(E105/H105-1,"")</x:f>
      </x:c>
      <x:c r="J105" s="50"/>
      <x:c r="K105" s="50" t="str">
        <x:f>IF(D105="","",D105*J105)</x:f>
      </x:c>
      <x:c r="L105" s="50" t="str">
        <x:f>IF(K105="","",K105-G105)</x:f>
      </x:c>
      <x:c r="M105" t="str">
        <x:f>IFERROR(XLOOKUP(B105,'30th Products'!B:B,'30th Products'!E:E),"")</x:f>
      </x:c>
      <x:c r="N105"/>
      <x:c r="O105" s="31"/>
    </x:row>
    <x:row r="106">
      <x:c r="A106" s="48"/>
      <x:c r="B106"/>
      <x:c r="C106"/>
      <x:c r="D106"/>
      <x:c r="E106" s="50"/>
      <x:c r="F106" s="50"/>
      <x:c r="G106" s="50" t="str">
        <x:f>IF(D106="","",D106*E106+F106)</x:f>
      </x:c>
      <x:c r="H106" s="50" t="str">
        <x:f>IFERROR(XLOOKUP(B106,'30th Products'!B:B,'30th Products'!C:C),"")</x:f>
      </x:c>
      <x:c r="I106" s="52" t="str">
        <x:f>IFERROR(E106/H106-1,"")</x:f>
      </x:c>
      <x:c r="J106" s="50"/>
      <x:c r="K106" s="50" t="str">
        <x:f>IF(D106="","",D106*J106)</x:f>
      </x:c>
      <x:c r="L106" s="50" t="str">
        <x:f>IF(K106="","",K106-G106)</x:f>
      </x:c>
      <x:c r="M106" t="str">
        <x:f>IFERROR(XLOOKUP(B106,'30th Products'!B:B,'30th Products'!E:E),"")</x:f>
      </x:c>
      <x:c r="N106"/>
      <x:c r="O106" s="31"/>
    </x:row>
    <x:row r="107">
      <x:c r="A107" s="48"/>
      <x:c r="B107"/>
      <x:c r="C107"/>
      <x:c r="D107"/>
      <x:c r="E107" s="50"/>
      <x:c r="F107" s="50"/>
      <x:c r="G107" s="50" t="str">
        <x:f>IF(D107="","",D107*E107+F107)</x:f>
      </x:c>
      <x:c r="H107" s="50" t="str">
        <x:f>IFERROR(XLOOKUP(B107,'30th Products'!B:B,'30th Products'!C:C),"")</x:f>
      </x:c>
      <x:c r="I107" s="52" t="str">
        <x:f>IFERROR(E107/H107-1,"")</x:f>
      </x:c>
      <x:c r="J107" s="50"/>
      <x:c r="K107" s="50" t="str">
        <x:f>IF(D107="","",D107*J107)</x:f>
      </x:c>
      <x:c r="L107" s="50" t="str">
        <x:f>IF(K107="","",K107-G107)</x:f>
      </x:c>
      <x:c r="M107" t="str">
        <x:f>IFERROR(XLOOKUP(B107,'30th Products'!B:B,'30th Products'!E:E),"")</x:f>
      </x:c>
      <x:c r="N107"/>
      <x:c r="O107" s="31"/>
    </x:row>
    <x:row r="108">
      <x:c r="A108" s="48"/>
      <x:c r="B108"/>
      <x:c r="C108"/>
      <x:c r="D108"/>
      <x:c r="E108" s="50"/>
      <x:c r="F108" s="50"/>
      <x:c r="G108" s="50" t="str">
        <x:f>IF(D108="","",D108*E108+F108)</x:f>
      </x:c>
      <x:c r="H108" s="50" t="str">
        <x:f>IFERROR(XLOOKUP(B108,'30th Products'!B:B,'30th Products'!C:C),"")</x:f>
      </x:c>
      <x:c r="I108" s="52" t="str">
        <x:f>IFERROR(E108/H108-1,"")</x:f>
      </x:c>
      <x:c r="J108" s="50"/>
      <x:c r="K108" s="50" t="str">
        <x:f>IF(D108="","",D108*J108)</x:f>
      </x:c>
      <x:c r="L108" s="50" t="str">
        <x:f>IF(K108="","",K108-G108)</x:f>
      </x:c>
      <x:c r="M108" t="str">
        <x:f>IFERROR(XLOOKUP(B108,'30th Products'!B:B,'30th Products'!E:E),"")</x:f>
      </x:c>
      <x:c r="N108"/>
      <x:c r="O108" s="31"/>
    </x:row>
    <x:row r="109">
      <x:c r="A109" s="48"/>
      <x:c r="B109"/>
      <x:c r="C109"/>
      <x:c r="D109"/>
      <x:c r="E109" s="50"/>
      <x:c r="F109" s="50"/>
      <x:c r="G109" s="50" t="str">
        <x:f>IF(D109="","",D109*E109+F109)</x:f>
      </x:c>
      <x:c r="H109" s="50" t="str">
        <x:f>IFERROR(XLOOKUP(B109,'30th Products'!B:B,'30th Products'!C:C),"")</x:f>
      </x:c>
      <x:c r="I109" s="52" t="str">
        <x:f>IFERROR(E109/H109-1,"")</x:f>
      </x:c>
      <x:c r="J109" s="50"/>
      <x:c r="K109" s="50" t="str">
        <x:f>IF(D109="","",D109*J109)</x:f>
      </x:c>
      <x:c r="L109" s="50" t="str">
        <x:f>IF(K109="","",K109-G109)</x:f>
      </x:c>
      <x:c r="M109" t="str">
        <x:f>IFERROR(XLOOKUP(B109,'30th Products'!B:B,'30th Products'!E:E),"")</x:f>
      </x:c>
      <x:c r="N109"/>
      <x:c r="O109" s="31"/>
    </x:row>
    <x:row r="110">
      <x:c r="A110" s="48"/>
      <x:c r="B110"/>
      <x:c r="C110"/>
      <x:c r="D110"/>
      <x:c r="E110" s="50"/>
      <x:c r="F110" s="50"/>
      <x:c r="G110" s="50" t="str">
        <x:f>IF(D110="","",D110*E110+F110)</x:f>
      </x:c>
      <x:c r="H110" s="50" t="str">
        <x:f>IFERROR(XLOOKUP(B110,'30th Products'!B:B,'30th Products'!C:C),"")</x:f>
      </x:c>
      <x:c r="I110" s="52" t="str">
        <x:f>IFERROR(E110/H110-1,"")</x:f>
      </x:c>
      <x:c r="J110" s="50"/>
      <x:c r="K110" s="50" t="str">
        <x:f>IF(D110="","",D110*J110)</x:f>
      </x:c>
      <x:c r="L110" s="50" t="str">
        <x:f>IF(K110="","",K110-G110)</x:f>
      </x:c>
      <x:c r="M110" t="str">
        <x:f>IFERROR(XLOOKUP(B110,'30th Products'!B:B,'30th Products'!E:E),"")</x:f>
      </x:c>
      <x:c r="N110"/>
      <x:c r="O110" s="31"/>
    </x:row>
    <x:row r="111">
      <x:c r="A111" s="48"/>
      <x:c r="B111"/>
      <x:c r="C111"/>
      <x:c r="D111"/>
      <x:c r="E111" s="50"/>
      <x:c r="F111" s="50"/>
      <x:c r="G111" s="50" t="str">
        <x:f>IF(D111="","",D111*E111+F111)</x:f>
      </x:c>
      <x:c r="H111" s="50" t="str">
        <x:f>IFERROR(XLOOKUP(B111,'30th Products'!B:B,'30th Products'!C:C),"")</x:f>
      </x:c>
      <x:c r="I111" s="52" t="str">
        <x:f>IFERROR(E111/H111-1,"")</x:f>
      </x:c>
      <x:c r="J111" s="50"/>
      <x:c r="K111" s="50" t="str">
        <x:f>IF(D111="","",D111*J111)</x:f>
      </x:c>
      <x:c r="L111" s="50" t="str">
        <x:f>IF(K111="","",K111-G111)</x:f>
      </x:c>
      <x:c r="M111" t="str">
        <x:f>IFERROR(XLOOKUP(B111,'30th Products'!B:B,'30th Products'!E:E),"")</x:f>
      </x:c>
      <x:c r="N111"/>
      <x:c r="O111" s="31"/>
    </x:row>
    <x:row r="112">
      <x:c r="A112" s="48"/>
      <x:c r="B112"/>
      <x:c r="C112"/>
      <x:c r="D112"/>
      <x:c r="E112" s="50"/>
      <x:c r="F112" s="50"/>
      <x:c r="G112" s="50" t="str">
        <x:f>IF(D112="","",D112*E112+F112)</x:f>
      </x:c>
      <x:c r="H112" s="50" t="str">
        <x:f>IFERROR(XLOOKUP(B112,'30th Products'!B:B,'30th Products'!C:C),"")</x:f>
      </x:c>
      <x:c r="I112" s="52" t="str">
        <x:f>IFERROR(E112/H112-1,"")</x:f>
      </x:c>
      <x:c r="J112" s="50"/>
      <x:c r="K112" s="50" t="str">
        <x:f>IF(D112="","",D112*J112)</x:f>
      </x:c>
      <x:c r="L112" s="50" t="str">
        <x:f>IF(K112="","",K112-G112)</x:f>
      </x:c>
      <x:c r="M112" t="str">
        <x:f>IFERROR(XLOOKUP(B112,'30th Products'!B:B,'30th Products'!E:E),"")</x:f>
      </x:c>
      <x:c r="N112"/>
      <x:c r="O112" s="31"/>
    </x:row>
    <x:row r="113">
      <x:c r="A113" s="48"/>
      <x:c r="B113"/>
      <x:c r="C113"/>
      <x:c r="D113"/>
      <x:c r="E113" s="50"/>
      <x:c r="F113" s="50"/>
      <x:c r="G113" s="50" t="str">
        <x:f>IF(D113="","",D113*E113+F113)</x:f>
      </x:c>
      <x:c r="H113" s="50" t="str">
        <x:f>IFERROR(XLOOKUP(B113,'30th Products'!B:B,'30th Products'!C:C),"")</x:f>
      </x:c>
      <x:c r="I113" s="52" t="str">
        <x:f>IFERROR(E113/H113-1,"")</x:f>
      </x:c>
      <x:c r="J113" s="50"/>
      <x:c r="K113" s="50" t="str">
        <x:f>IF(D113="","",D113*J113)</x:f>
      </x:c>
      <x:c r="L113" s="50" t="str">
        <x:f>IF(K113="","",K113-G113)</x:f>
      </x:c>
      <x:c r="M113" t="str">
        <x:f>IFERROR(XLOOKUP(B113,'30th Products'!B:B,'30th Products'!E:E),"")</x:f>
      </x:c>
      <x:c r="N113"/>
      <x:c r="O113" s="31"/>
    </x:row>
    <x:row r="114">
      <x:c r="A114" s="48"/>
      <x:c r="B114"/>
      <x:c r="C114"/>
      <x:c r="D114"/>
      <x:c r="E114" s="50"/>
      <x:c r="F114" s="50"/>
      <x:c r="G114" s="50" t="str">
        <x:f>IF(D114="","",D114*E114+F114)</x:f>
      </x:c>
      <x:c r="H114" s="50" t="str">
        <x:f>IFERROR(XLOOKUP(B114,'30th Products'!B:B,'30th Products'!C:C),"")</x:f>
      </x:c>
      <x:c r="I114" s="52" t="str">
        <x:f>IFERROR(E114/H114-1,"")</x:f>
      </x:c>
      <x:c r="J114" s="50"/>
      <x:c r="K114" s="50" t="str">
        <x:f>IF(D114="","",D114*J114)</x:f>
      </x:c>
      <x:c r="L114" s="50" t="str">
        <x:f>IF(K114="","",K114-G114)</x:f>
      </x:c>
      <x:c r="M114" t="str">
        <x:f>IFERROR(XLOOKUP(B114,'30th Products'!B:B,'30th Products'!E:E),"")</x:f>
      </x:c>
      <x:c r="N114"/>
      <x:c r="O114" s="31"/>
    </x:row>
    <x:row r="115">
      <x:c r="A115" s="48"/>
      <x:c r="B115"/>
      <x:c r="C115"/>
      <x:c r="D115"/>
      <x:c r="E115" s="50"/>
      <x:c r="F115" s="50"/>
      <x:c r="G115" s="50" t="str">
        <x:f>IF(D115="","",D115*E115+F115)</x:f>
      </x:c>
      <x:c r="H115" s="50" t="str">
        <x:f>IFERROR(XLOOKUP(B115,'30th Products'!B:B,'30th Products'!C:C),"")</x:f>
      </x:c>
      <x:c r="I115" s="52" t="str">
        <x:f>IFERROR(E115/H115-1,"")</x:f>
      </x:c>
      <x:c r="J115" s="50"/>
      <x:c r="K115" s="50" t="str">
        <x:f>IF(D115="","",D115*J115)</x:f>
      </x:c>
      <x:c r="L115" s="50" t="str">
        <x:f>IF(K115="","",K115-G115)</x:f>
      </x:c>
      <x:c r="M115" t="str">
        <x:f>IFERROR(XLOOKUP(B115,'30th Products'!B:B,'30th Products'!E:E),"")</x:f>
      </x:c>
      <x:c r="N115"/>
      <x:c r="O115" s="31"/>
    </x:row>
    <x:row r="116">
      <x:c r="A116" s="48"/>
      <x:c r="B116"/>
      <x:c r="C116"/>
      <x:c r="D116"/>
      <x:c r="E116" s="50"/>
      <x:c r="F116" s="50"/>
      <x:c r="G116" s="50" t="str">
        <x:f>IF(D116="","",D116*E116+F116)</x:f>
      </x:c>
      <x:c r="H116" s="50" t="str">
        <x:f>IFERROR(XLOOKUP(B116,'30th Products'!B:B,'30th Products'!C:C),"")</x:f>
      </x:c>
      <x:c r="I116" s="52" t="str">
        <x:f>IFERROR(E116/H116-1,"")</x:f>
      </x:c>
      <x:c r="J116" s="50"/>
      <x:c r="K116" s="50" t="str">
        <x:f>IF(D116="","",D116*J116)</x:f>
      </x:c>
      <x:c r="L116" s="50" t="str">
        <x:f>IF(K116="","",K116-G116)</x:f>
      </x:c>
      <x:c r="M116" t="str">
        <x:f>IFERROR(XLOOKUP(B116,'30th Products'!B:B,'30th Products'!E:E),"")</x:f>
      </x:c>
      <x:c r="N116"/>
      <x:c r="O116" s="31"/>
    </x:row>
    <x:row r="117">
      <x:c r="A117" s="48"/>
      <x:c r="B117"/>
      <x:c r="C117"/>
      <x:c r="D117"/>
      <x:c r="E117" s="50"/>
      <x:c r="F117" s="50"/>
      <x:c r="G117" s="50" t="str">
        <x:f>IF(D117="","",D117*E117+F117)</x:f>
      </x:c>
      <x:c r="H117" s="50" t="str">
        <x:f>IFERROR(XLOOKUP(B117,'30th Products'!B:B,'30th Products'!C:C),"")</x:f>
      </x:c>
      <x:c r="I117" s="52" t="str">
        <x:f>IFERROR(E117/H117-1,"")</x:f>
      </x:c>
      <x:c r="J117" s="50"/>
      <x:c r="K117" s="50" t="str">
        <x:f>IF(D117="","",D117*J117)</x:f>
      </x:c>
      <x:c r="L117" s="50" t="str">
        <x:f>IF(K117="","",K117-G117)</x:f>
      </x:c>
      <x:c r="M117" t="str">
        <x:f>IFERROR(XLOOKUP(B117,'30th Products'!B:B,'30th Products'!E:E),"")</x:f>
      </x:c>
      <x:c r="N117"/>
      <x:c r="O117" s="31"/>
    </x:row>
    <x:row r="118">
      <x:c r="A118" s="48"/>
      <x:c r="B118"/>
      <x:c r="C118"/>
      <x:c r="D118"/>
      <x:c r="E118" s="50"/>
      <x:c r="F118" s="50"/>
      <x:c r="G118" s="50" t="str">
        <x:f>IF(D118="","",D118*E118+F118)</x:f>
      </x:c>
      <x:c r="H118" s="50" t="str">
        <x:f>IFERROR(XLOOKUP(B118,'30th Products'!B:B,'30th Products'!C:C),"")</x:f>
      </x:c>
      <x:c r="I118" s="52" t="str">
        <x:f>IFERROR(E118/H118-1,"")</x:f>
      </x:c>
      <x:c r="J118" s="50"/>
      <x:c r="K118" s="50" t="str">
        <x:f>IF(D118="","",D118*J118)</x:f>
      </x:c>
      <x:c r="L118" s="50" t="str">
        <x:f>IF(K118="","",K118-G118)</x:f>
      </x:c>
      <x:c r="M118" t="str">
        <x:f>IFERROR(XLOOKUP(B118,'30th Products'!B:B,'30th Products'!E:E),"")</x:f>
      </x:c>
      <x:c r="N118"/>
      <x:c r="O118" s="31"/>
    </x:row>
    <x:row r="119">
      <x:c r="A119" s="48"/>
      <x:c r="B119"/>
      <x:c r="C119"/>
      <x:c r="D119"/>
      <x:c r="E119" s="50"/>
      <x:c r="F119" s="50"/>
      <x:c r="G119" s="50" t="str">
        <x:f>IF(D119="","",D119*E119+F119)</x:f>
      </x:c>
      <x:c r="H119" s="50" t="str">
        <x:f>IFERROR(XLOOKUP(B119,'30th Products'!B:B,'30th Products'!C:C),"")</x:f>
      </x:c>
      <x:c r="I119" s="52" t="str">
        <x:f>IFERROR(E119/H119-1,"")</x:f>
      </x:c>
      <x:c r="J119" s="50"/>
      <x:c r="K119" s="50" t="str">
        <x:f>IF(D119="","",D119*J119)</x:f>
      </x:c>
      <x:c r="L119" s="50" t="str">
        <x:f>IF(K119="","",K119-G119)</x:f>
      </x:c>
      <x:c r="M119" t="str">
        <x:f>IFERROR(XLOOKUP(B119,'30th Products'!B:B,'30th Products'!E:E),"")</x:f>
      </x:c>
      <x:c r="N119"/>
      <x:c r="O119" s="31"/>
    </x:row>
    <x:row r="120">
      <x:c r="A120" s="48"/>
      <x:c r="B120"/>
      <x:c r="C120"/>
      <x:c r="D120"/>
      <x:c r="E120" s="50"/>
      <x:c r="F120" s="50"/>
      <x:c r="G120" s="50" t="str">
        <x:f>IF(D120="","",D120*E120+F120)</x:f>
      </x:c>
      <x:c r="H120" s="50" t="str">
        <x:f>IFERROR(XLOOKUP(B120,'30th Products'!B:B,'30th Products'!C:C),"")</x:f>
      </x:c>
      <x:c r="I120" s="52" t="str">
        <x:f>IFERROR(E120/H120-1,"")</x:f>
      </x:c>
      <x:c r="J120" s="50"/>
      <x:c r="K120" s="50" t="str">
        <x:f>IF(D120="","",D120*J120)</x:f>
      </x:c>
      <x:c r="L120" s="50" t="str">
        <x:f>IF(K120="","",K120-G120)</x:f>
      </x:c>
      <x:c r="M120" t="str">
        <x:f>IFERROR(XLOOKUP(B120,'30th Products'!B:B,'30th Products'!E:E),"")</x:f>
      </x:c>
      <x:c r="N120"/>
      <x:c r="O120" s="31"/>
    </x:row>
    <x:row r="121">
      <x:c r="A121" s="48"/>
      <x:c r="B121"/>
      <x:c r="C121"/>
      <x:c r="D121"/>
      <x:c r="E121" s="50"/>
      <x:c r="F121" s="50"/>
      <x:c r="G121" s="50" t="str">
        <x:f>IF(D121="","",D121*E121+F121)</x:f>
      </x:c>
      <x:c r="H121" s="50" t="str">
        <x:f>IFERROR(XLOOKUP(B121,'30th Products'!B:B,'30th Products'!C:C),"")</x:f>
      </x:c>
      <x:c r="I121" s="52" t="str">
        <x:f>IFERROR(E121/H121-1,"")</x:f>
      </x:c>
      <x:c r="J121" s="50"/>
      <x:c r="K121" s="50" t="str">
        <x:f>IF(D121="","",D121*J121)</x:f>
      </x:c>
      <x:c r="L121" s="50" t="str">
        <x:f>IF(K121="","",K121-G121)</x:f>
      </x:c>
      <x:c r="M121" t="str">
        <x:f>IFERROR(XLOOKUP(B121,'30th Products'!B:B,'30th Products'!E:E),"")</x:f>
      </x:c>
      <x:c r="N121"/>
      <x:c r="O121" s="31"/>
    </x:row>
    <x:row r="122">
      <x:c r="A122" s="48"/>
      <x:c r="B122"/>
      <x:c r="C122"/>
      <x:c r="D122"/>
      <x:c r="E122" s="50"/>
      <x:c r="F122" s="50"/>
      <x:c r="G122" s="50" t="str">
        <x:f>IF(D122="","",D122*E122+F122)</x:f>
      </x:c>
      <x:c r="H122" s="50" t="str">
        <x:f>IFERROR(XLOOKUP(B122,'30th Products'!B:B,'30th Products'!C:C),"")</x:f>
      </x:c>
      <x:c r="I122" s="52" t="str">
        <x:f>IFERROR(E122/H122-1,"")</x:f>
      </x:c>
      <x:c r="J122" s="50"/>
      <x:c r="K122" s="50" t="str">
        <x:f>IF(D122="","",D122*J122)</x:f>
      </x:c>
      <x:c r="L122" s="50" t="str">
        <x:f>IF(K122="","",K122-G122)</x:f>
      </x:c>
      <x:c r="M122" t="str">
        <x:f>IFERROR(XLOOKUP(B122,'30th Products'!B:B,'30th Products'!E:E),"")</x:f>
      </x:c>
      <x:c r="N122"/>
      <x:c r="O122" s="31"/>
    </x:row>
    <x:row r="123">
      <x:c r="A123" s="48"/>
      <x:c r="B123"/>
      <x:c r="C123"/>
      <x:c r="D123"/>
      <x:c r="E123" s="50"/>
      <x:c r="F123" s="50"/>
      <x:c r="G123" s="50" t="str">
        <x:f>IF(D123="","",D123*E123+F123)</x:f>
      </x:c>
      <x:c r="H123" s="50" t="str">
        <x:f>IFERROR(XLOOKUP(B123,'30th Products'!B:B,'30th Products'!C:C),"")</x:f>
      </x:c>
      <x:c r="I123" s="52" t="str">
        <x:f>IFERROR(E123/H123-1,"")</x:f>
      </x:c>
      <x:c r="J123" s="50"/>
      <x:c r="K123" s="50" t="str">
        <x:f>IF(D123="","",D123*J123)</x:f>
      </x:c>
      <x:c r="L123" s="50" t="str">
        <x:f>IF(K123="","",K123-G123)</x:f>
      </x:c>
      <x:c r="M123" t="str">
        <x:f>IFERROR(XLOOKUP(B123,'30th Products'!B:B,'30th Products'!E:E),"")</x:f>
      </x:c>
      <x:c r="N123"/>
      <x:c r="O123" s="31"/>
    </x:row>
    <x:row r="124">
      <x:c r="A124" s="48"/>
      <x:c r="B124"/>
      <x:c r="C124"/>
      <x:c r="D124"/>
      <x:c r="E124" s="50"/>
      <x:c r="F124" s="50"/>
      <x:c r="G124" s="50" t="str">
        <x:f>IF(D124="","",D124*E124+F124)</x:f>
      </x:c>
      <x:c r="H124" s="50" t="str">
        <x:f>IFERROR(XLOOKUP(B124,'30th Products'!B:B,'30th Products'!C:C),"")</x:f>
      </x:c>
      <x:c r="I124" s="52" t="str">
        <x:f>IFERROR(E124/H124-1,"")</x:f>
      </x:c>
      <x:c r="J124" s="50"/>
      <x:c r="K124" s="50" t="str">
        <x:f>IF(D124="","",D124*J124)</x:f>
      </x:c>
      <x:c r="L124" s="50" t="str">
        <x:f>IF(K124="","",K124-G124)</x:f>
      </x:c>
      <x:c r="M124" t="str">
        <x:f>IFERROR(XLOOKUP(B124,'30th Products'!B:B,'30th Products'!E:E),"")</x:f>
      </x:c>
      <x:c r="N124"/>
      <x:c r="O124" s="31"/>
    </x:row>
    <x:row r="125">
      <x:c r="A125" s="48"/>
      <x:c r="B125"/>
      <x:c r="C125"/>
      <x:c r="D125"/>
      <x:c r="E125" s="50"/>
      <x:c r="F125" s="50"/>
      <x:c r="G125" s="50" t="str">
        <x:f>IF(D125="","",D125*E125+F125)</x:f>
      </x:c>
      <x:c r="H125" s="50" t="str">
        <x:f>IFERROR(XLOOKUP(B125,'30th Products'!B:B,'30th Products'!C:C),"")</x:f>
      </x:c>
      <x:c r="I125" s="52" t="str">
        <x:f>IFERROR(E125/H125-1,"")</x:f>
      </x:c>
      <x:c r="J125" s="50"/>
      <x:c r="K125" s="50" t="str">
        <x:f>IF(D125="","",D125*J125)</x:f>
      </x:c>
      <x:c r="L125" s="50" t="str">
        <x:f>IF(K125="","",K125-G125)</x:f>
      </x:c>
      <x:c r="M125" t="str">
        <x:f>IFERROR(XLOOKUP(B125,'30th Products'!B:B,'30th Products'!E:E),"")</x:f>
      </x:c>
      <x:c r="N125"/>
      <x:c r="O125" s="31"/>
    </x:row>
    <x:row r="126">
      <x:c r="A126" s="48"/>
      <x:c r="B126"/>
      <x:c r="C126"/>
      <x:c r="D126"/>
      <x:c r="E126" s="50"/>
      <x:c r="F126" s="50"/>
      <x:c r="G126" s="50" t="str">
        <x:f>IF(D126="","",D126*E126+F126)</x:f>
      </x:c>
      <x:c r="H126" s="50" t="str">
        <x:f>IFERROR(XLOOKUP(B126,'30th Products'!B:B,'30th Products'!C:C),"")</x:f>
      </x:c>
      <x:c r="I126" s="52" t="str">
        <x:f>IFERROR(E126/H126-1,"")</x:f>
      </x:c>
      <x:c r="J126" s="50"/>
      <x:c r="K126" s="50" t="str">
        <x:f>IF(D126="","",D126*J126)</x:f>
      </x:c>
      <x:c r="L126" s="50" t="str">
        <x:f>IF(K126="","",K126-G126)</x:f>
      </x:c>
      <x:c r="M126" t="str">
        <x:f>IFERROR(XLOOKUP(B126,'30th Products'!B:B,'30th Products'!E:E),"")</x:f>
      </x:c>
      <x:c r="N126"/>
      <x:c r="O126" s="31"/>
    </x:row>
    <x:row r="127">
      <x:c r="A127" s="48"/>
      <x:c r="B127"/>
      <x:c r="C127"/>
      <x:c r="D127"/>
      <x:c r="E127" s="50"/>
      <x:c r="F127" s="50"/>
      <x:c r="G127" s="50" t="str">
        <x:f>IF(D127="","",D127*E127+F127)</x:f>
      </x:c>
      <x:c r="H127" s="50" t="str">
        <x:f>IFERROR(XLOOKUP(B127,'30th Products'!B:B,'30th Products'!C:C),"")</x:f>
      </x:c>
      <x:c r="I127" s="52" t="str">
        <x:f>IFERROR(E127/H127-1,"")</x:f>
      </x:c>
      <x:c r="J127" s="50"/>
      <x:c r="K127" s="50" t="str">
        <x:f>IF(D127="","",D127*J127)</x:f>
      </x:c>
      <x:c r="L127" s="50" t="str">
        <x:f>IF(K127="","",K127-G127)</x:f>
      </x:c>
      <x:c r="M127" t="str">
        <x:f>IFERROR(XLOOKUP(B127,'30th Products'!B:B,'30th Products'!E:E),"")</x:f>
      </x:c>
      <x:c r="N127"/>
      <x:c r="O127" s="31"/>
    </x:row>
    <x:row r="128">
      <x:c r="A128" s="48"/>
      <x:c r="B128"/>
      <x:c r="C128"/>
      <x:c r="D128"/>
      <x:c r="E128" s="50"/>
      <x:c r="F128" s="50"/>
      <x:c r="G128" s="50" t="str">
        <x:f>IF(D128="","",D128*E128+F128)</x:f>
      </x:c>
      <x:c r="H128" s="50" t="str">
        <x:f>IFERROR(XLOOKUP(B128,'30th Products'!B:B,'30th Products'!C:C),"")</x:f>
      </x:c>
      <x:c r="I128" s="52" t="str">
        <x:f>IFERROR(E128/H128-1,"")</x:f>
      </x:c>
      <x:c r="J128" s="50"/>
      <x:c r="K128" s="50" t="str">
        <x:f>IF(D128="","",D128*J128)</x:f>
      </x:c>
      <x:c r="L128" s="50" t="str">
        <x:f>IF(K128="","",K128-G128)</x:f>
      </x:c>
      <x:c r="M128" t="str">
        <x:f>IFERROR(XLOOKUP(B128,'30th Products'!B:B,'30th Products'!E:E),"")</x:f>
      </x:c>
      <x:c r="N128"/>
      <x:c r="O128" s="31"/>
    </x:row>
    <x:row r="129">
      <x:c r="A129" s="48"/>
      <x:c r="B129"/>
      <x:c r="C129"/>
      <x:c r="D129"/>
      <x:c r="E129" s="50"/>
      <x:c r="F129" s="50"/>
      <x:c r="G129" s="50" t="str">
        <x:f>IF(D129="","",D129*E129+F129)</x:f>
      </x:c>
      <x:c r="H129" s="50" t="str">
        <x:f>IFERROR(XLOOKUP(B129,'30th Products'!B:B,'30th Products'!C:C),"")</x:f>
      </x:c>
      <x:c r="I129" s="52" t="str">
        <x:f>IFERROR(E129/H129-1,"")</x:f>
      </x:c>
      <x:c r="J129" s="50"/>
      <x:c r="K129" s="50" t="str">
        <x:f>IF(D129="","",D129*J129)</x:f>
      </x:c>
      <x:c r="L129" s="50" t="str">
        <x:f>IF(K129="","",K129-G129)</x:f>
      </x:c>
      <x:c r="M129" t="str">
        <x:f>IFERROR(XLOOKUP(B129,'30th Products'!B:B,'30th Products'!E:E),"")</x:f>
      </x:c>
      <x:c r="N129"/>
      <x:c r="O129" s="31"/>
    </x:row>
    <x:row r="130">
      <x:c r="A130" s="48"/>
      <x:c r="B130"/>
      <x:c r="C130"/>
      <x:c r="D130"/>
      <x:c r="E130" s="50"/>
      <x:c r="F130" s="50"/>
      <x:c r="G130" s="50" t="str">
        <x:f>IF(D130="","",D130*E130+F130)</x:f>
      </x:c>
      <x:c r="H130" s="50" t="str">
        <x:f>IFERROR(XLOOKUP(B130,'30th Products'!B:B,'30th Products'!C:C),"")</x:f>
      </x:c>
      <x:c r="I130" s="52" t="str">
        <x:f>IFERROR(E130/H130-1,"")</x:f>
      </x:c>
      <x:c r="J130" s="50"/>
      <x:c r="K130" s="50" t="str">
        <x:f>IF(D130="","",D130*J130)</x:f>
      </x:c>
      <x:c r="L130" s="50" t="str">
        <x:f>IF(K130="","",K130-G130)</x:f>
      </x:c>
      <x:c r="M130" t="str">
        <x:f>IFERROR(XLOOKUP(B130,'30th Products'!B:B,'30th Products'!E:E),"")</x:f>
      </x:c>
      <x:c r="N130"/>
      <x:c r="O130" s="31"/>
    </x:row>
    <x:row r="131">
      <x:c r="A131" s="48"/>
      <x:c r="B131"/>
      <x:c r="C131"/>
      <x:c r="D131"/>
      <x:c r="E131" s="50"/>
      <x:c r="F131" s="50"/>
      <x:c r="G131" s="50" t="str">
        <x:f>IF(D131="","",D131*E131+F131)</x:f>
      </x:c>
      <x:c r="H131" s="50" t="str">
        <x:f>IFERROR(XLOOKUP(B131,'30th Products'!B:B,'30th Products'!C:C),"")</x:f>
      </x:c>
      <x:c r="I131" s="52" t="str">
        <x:f>IFERROR(E131/H131-1,"")</x:f>
      </x:c>
      <x:c r="J131" s="50"/>
      <x:c r="K131" s="50" t="str">
        <x:f>IF(D131="","",D131*J131)</x:f>
      </x:c>
      <x:c r="L131" s="50" t="str">
        <x:f>IF(K131="","",K131-G131)</x:f>
      </x:c>
      <x:c r="M131" t="str">
        <x:f>IFERROR(XLOOKUP(B131,'30th Products'!B:B,'30th Products'!E:E),"")</x:f>
      </x:c>
      <x:c r="N131"/>
      <x:c r="O131" s="31"/>
    </x:row>
    <x:row r="132">
      <x:c r="A132" s="48"/>
      <x:c r="B132"/>
      <x:c r="C132"/>
      <x:c r="D132"/>
      <x:c r="E132" s="50"/>
      <x:c r="F132" s="50"/>
      <x:c r="G132" s="50" t="str">
        <x:f>IF(D132="","",D132*E132+F132)</x:f>
      </x:c>
      <x:c r="H132" s="50" t="str">
        <x:f>IFERROR(XLOOKUP(B132,'30th Products'!B:B,'30th Products'!C:C),"")</x:f>
      </x:c>
      <x:c r="I132" s="52" t="str">
        <x:f>IFERROR(E132/H132-1,"")</x:f>
      </x:c>
      <x:c r="J132" s="50"/>
      <x:c r="K132" s="50" t="str">
        <x:f>IF(D132="","",D132*J132)</x:f>
      </x:c>
      <x:c r="L132" s="50" t="str">
        <x:f>IF(K132="","",K132-G132)</x:f>
      </x:c>
      <x:c r="M132" t="str">
        <x:f>IFERROR(XLOOKUP(B132,'30th Products'!B:B,'30th Products'!E:E),"")</x:f>
      </x:c>
      <x:c r="N132"/>
      <x:c r="O132" s="31"/>
    </x:row>
    <x:row r="133">
      <x:c r="A133" s="48"/>
      <x:c r="B133"/>
      <x:c r="C133"/>
      <x:c r="D133"/>
      <x:c r="E133" s="50"/>
      <x:c r="F133" s="50"/>
      <x:c r="G133" s="50" t="str">
        <x:f>IF(D133="","",D133*E133+F133)</x:f>
      </x:c>
      <x:c r="H133" s="50" t="str">
        <x:f>IFERROR(XLOOKUP(B133,'30th Products'!B:B,'30th Products'!C:C),"")</x:f>
      </x:c>
      <x:c r="I133" s="52" t="str">
        <x:f>IFERROR(E133/H133-1,"")</x:f>
      </x:c>
      <x:c r="J133" s="50"/>
      <x:c r="K133" s="50" t="str">
        <x:f>IF(D133="","",D133*J133)</x:f>
      </x:c>
      <x:c r="L133" s="50" t="str">
        <x:f>IF(K133="","",K133-G133)</x:f>
      </x:c>
      <x:c r="M133" t="str">
        <x:f>IFERROR(XLOOKUP(B133,'30th Products'!B:B,'30th Products'!E:E),"")</x:f>
      </x:c>
      <x:c r="N133"/>
      <x:c r="O133" s="31"/>
    </x:row>
    <x:row r="134">
      <x:c r="A134" s="48"/>
      <x:c r="B134"/>
      <x:c r="C134"/>
      <x:c r="D134"/>
      <x:c r="E134" s="50"/>
      <x:c r="F134" s="50"/>
      <x:c r="G134" s="50" t="str">
        <x:f>IF(D134="","",D134*E134+F134)</x:f>
      </x:c>
      <x:c r="H134" s="50" t="str">
        <x:f>IFERROR(XLOOKUP(B134,'30th Products'!B:B,'30th Products'!C:C),"")</x:f>
      </x:c>
      <x:c r="I134" s="52" t="str">
        <x:f>IFERROR(E134/H134-1,"")</x:f>
      </x:c>
      <x:c r="J134" s="50"/>
      <x:c r="K134" s="50" t="str">
        <x:f>IF(D134="","",D134*J134)</x:f>
      </x:c>
      <x:c r="L134" s="50" t="str">
        <x:f>IF(K134="","",K134-G134)</x:f>
      </x:c>
      <x:c r="M134" t="str">
        <x:f>IFERROR(XLOOKUP(B134,'30th Products'!B:B,'30th Products'!E:E),"")</x:f>
      </x:c>
      <x:c r="N134"/>
      <x:c r="O134" s="31"/>
    </x:row>
    <x:row r="135">
      <x:c r="A135" s="48"/>
      <x:c r="B135"/>
      <x:c r="C135"/>
      <x:c r="D135"/>
      <x:c r="E135" s="50"/>
      <x:c r="F135" s="50"/>
      <x:c r="G135" s="50" t="str">
        <x:f>IF(D135="","",D135*E135+F135)</x:f>
      </x:c>
      <x:c r="H135" s="50" t="str">
        <x:f>IFERROR(XLOOKUP(B135,'30th Products'!B:B,'30th Products'!C:C),"")</x:f>
      </x:c>
      <x:c r="I135" s="52" t="str">
        <x:f>IFERROR(E135/H135-1,"")</x:f>
      </x:c>
      <x:c r="J135" s="50"/>
      <x:c r="K135" s="50" t="str">
        <x:f>IF(D135="","",D135*J135)</x:f>
      </x:c>
      <x:c r="L135" s="50" t="str">
        <x:f>IF(K135="","",K135-G135)</x:f>
      </x:c>
      <x:c r="M135" t="str">
        <x:f>IFERROR(XLOOKUP(B135,'30th Products'!B:B,'30th Products'!E:E),"")</x:f>
      </x:c>
      <x:c r="N135"/>
      <x:c r="O135" s="31"/>
    </x:row>
    <x:row r="136">
      <x:c r="A136" s="48"/>
      <x:c r="B136"/>
      <x:c r="C136"/>
      <x:c r="D136"/>
      <x:c r="E136" s="50"/>
      <x:c r="F136" s="50"/>
      <x:c r="G136" s="50" t="str">
        <x:f>IF(D136="","",D136*E136+F136)</x:f>
      </x:c>
      <x:c r="H136" s="50" t="str">
        <x:f>IFERROR(XLOOKUP(B136,'30th Products'!B:B,'30th Products'!C:C),"")</x:f>
      </x:c>
      <x:c r="I136" s="52" t="str">
        <x:f>IFERROR(E136/H136-1,"")</x:f>
      </x:c>
      <x:c r="J136" s="50"/>
      <x:c r="K136" s="50" t="str">
        <x:f>IF(D136="","",D136*J136)</x:f>
      </x:c>
      <x:c r="L136" s="50" t="str">
        <x:f>IF(K136="","",K136-G136)</x:f>
      </x:c>
      <x:c r="M136" t="str">
        <x:f>IFERROR(XLOOKUP(B136,'30th Products'!B:B,'30th Products'!E:E),"")</x:f>
      </x:c>
      <x:c r="N136"/>
      <x:c r="O136" s="31"/>
    </x:row>
    <x:row r="137">
      <x:c r="A137" s="48"/>
      <x:c r="B137"/>
      <x:c r="C137"/>
      <x:c r="D137"/>
      <x:c r="E137" s="50"/>
      <x:c r="F137" s="50"/>
      <x:c r="G137" s="50" t="str">
        <x:f>IF(D137="","",D137*E137+F137)</x:f>
      </x:c>
      <x:c r="H137" s="50" t="str">
        <x:f>IFERROR(XLOOKUP(B137,'30th Products'!B:B,'30th Products'!C:C),"")</x:f>
      </x:c>
      <x:c r="I137" s="52" t="str">
        <x:f>IFERROR(E137/H137-1,"")</x:f>
      </x:c>
      <x:c r="J137" s="50"/>
      <x:c r="K137" s="50" t="str">
        <x:f>IF(D137="","",D137*J137)</x:f>
      </x:c>
      <x:c r="L137" s="50" t="str">
        <x:f>IF(K137="","",K137-G137)</x:f>
      </x:c>
      <x:c r="M137" t="str">
        <x:f>IFERROR(XLOOKUP(B137,'30th Products'!B:B,'30th Products'!E:E),"")</x:f>
      </x:c>
      <x:c r="N137"/>
      <x:c r="O137" s="31"/>
    </x:row>
    <x:row r="138">
      <x:c r="A138" s="48"/>
      <x:c r="B138"/>
      <x:c r="C138"/>
      <x:c r="D138"/>
      <x:c r="E138" s="50"/>
      <x:c r="F138" s="50"/>
      <x:c r="G138" s="50" t="str">
        <x:f>IF(D138="","",D138*E138+F138)</x:f>
      </x:c>
      <x:c r="H138" s="50" t="str">
        <x:f>IFERROR(XLOOKUP(B138,'30th Products'!B:B,'30th Products'!C:C),"")</x:f>
      </x:c>
      <x:c r="I138" s="52" t="str">
        <x:f>IFERROR(E138/H138-1,"")</x:f>
      </x:c>
      <x:c r="J138" s="50"/>
      <x:c r="K138" s="50" t="str">
        <x:f>IF(D138="","",D138*J138)</x:f>
      </x:c>
      <x:c r="L138" s="50" t="str">
        <x:f>IF(K138="","",K138-G138)</x:f>
      </x:c>
      <x:c r="M138" t="str">
        <x:f>IFERROR(XLOOKUP(B138,'30th Products'!B:B,'30th Products'!E:E),"")</x:f>
      </x:c>
      <x:c r="N138"/>
      <x:c r="O138" s="31"/>
    </x:row>
    <x:row r="139">
      <x:c r="A139" s="48"/>
      <x:c r="B139"/>
      <x:c r="C139"/>
      <x:c r="D139"/>
      <x:c r="E139" s="50"/>
      <x:c r="F139" s="50"/>
      <x:c r="G139" s="50" t="str">
        <x:f>IF(D139="","",D139*E139+F139)</x:f>
      </x:c>
      <x:c r="H139" s="50" t="str">
        <x:f>IFERROR(XLOOKUP(B139,'30th Products'!B:B,'30th Products'!C:C),"")</x:f>
      </x:c>
      <x:c r="I139" s="52" t="str">
        <x:f>IFERROR(E139/H139-1,"")</x:f>
      </x:c>
      <x:c r="J139" s="50"/>
      <x:c r="K139" s="50" t="str">
        <x:f>IF(D139="","",D139*J139)</x:f>
      </x:c>
      <x:c r="L139" s="50" t="str">
        <x:f>IF(K139="","",K139-G139)</x:f>
      </x:c>
      <x:c r="M139" t="str">
        <x:f>IFERROR(XLOOKUP(B139,'30th Products'!B:B,'30th Products'!E:E),"")</x:f>
      </x:c>
      <x:c r="N139"/>
      <x:c r="O139" s="31"/>
    </x:row>
    <x:row r="140">
      <x:c r="A140" s="48"/>
      <x:c r="B140"/>
      <x:c r="C140"/>
      <x:c r="D140"/>
      <x:c r="E140" s="50"/>
      <x:c r="F140" s="50"/>
      <x:c r="G140" s="50" t="str">
        <x:f>IF(D140="","",D140*E140+F140)</x:f>
      </x:c>
      <x:c r="H140" s="50" t="str">
        <x:f>IFERROR(XLOOKUP(B140,'30th Products'!B:B,'30th Products'!C:C),"")</x:f>
      </x:c>
      <x:c r="I140" s="52" t="str">
        <x:f>IFERROR(E140/H140-1,"")</x:f>
      </x:c>
      <x:c r="J140" s="50"/>
      <x:c r="K140" s="50" t="str">
        <x:f>IF(D140="","",D140*J140)</x:f>
      </x:c>
      <x:c r="L140" s="50" t="str">
        <x:f>IF(K140="","",K140-G140)</x:f>
      </x:c>
      <x:c r="M140" t="str">
        <x:f>IFERROR(XLOOKUP(B140,'30th Products'!B:B,'30th Products'!E:E),"")</x:f>
      </x:c>
      <x:c r="N140"/>
      <x:c r="O140" s="31"/>
    </x:row>
    <x:row r="141">
      <x:c r="A141" s="48"/>
      <x:c r="B141"/>
      <x:c r="C141"/>
      <x:c r="D141"/>
      <x:c r="E141" s="50"/>
      <x:c r="F141" s="50"/>
      <x:c r="G141" s="50" t="str">
        <x:f>IF(D141="","",D141*E141+F141)</x:f>
      </x:c>
      <x:c r="H141" s="50" t="str">
        <x:f>IFERROR(XLOOKUP(B141,'30th Products'!B:B,'30th Products'!C:C),"")</x:f>
      </x:c>
      <x:c r="I141" s="52" t="str">
        <x:f>IFERROR(E141/H141-1,"")</x:f>
      </x:c>
      <x:c r="J141" s="50"/>
      <x:c r="K141" s="50" t="str">
        <x:f>IF(D141="","",D141*J141)</x:f>
      </x:c>
      <x:c r="L141" s="50" t="str">
        <x:f>IF(K141="","",K141-G141)</x:f>
      </x:c>
      <x:c r="M141" t="str">
        <x:f>IFERROR(XLOOKUP(B141,'30th Products'!B:B,'30th Products'!E:E),"")</x:f>
      </x:c>
      <x:c r="N141"/>
      <x:c r="O141" s="31"/>
    </x:row>
    <x:row r="142">
      <x:c r="A142" s="48"/>
      <x:c r="B142"/>
      <x:c r="C142"/>
      <x:c r="D142"/>
      <x:c r="E142" s="50"/>
      <x:c r="F142" s="50"/>
      <x:c r="G142" s="50" t="str">
        <x:f>IF(D142="","",D142*E142+F142)</x:f>
      </x:c>
      <x:c r="H142" s="50" t="str">
        <x:f>IFERROR(XLOOKUP(B142,'30th Products'!B:B,'30th Products'!C:C),"")</x:f>
      </x:c>
      <x:c r="I142" s="52" t="str">
        <x:f>IFERROR(E142/H142-1,"")</x:f>
      </x:c>
      <x:c r="J142" s="50"/>
      <x:c r="K142" s="50" t="str">
        <x:f>IF(D142="","",D142*J142)</x:f>
      </x:c>
      <x:c r="L142" s="50" t="str">
        <x:f>IF(K142="","",K142-G142)</x:f>
      </x:c>
      <x:c r="M142" t="str">
        <x:f>IFERROR(XLOOKUP(B142,'30th Products'!B:B,'30th Products'!E:E),"")</x:f>
      </x:c>
      <x:c r="N142"/>
      <x:c r="O142" s="31"/>
    </x:row>
    <x:row r="143">
      <x:c r="A143" s="48"/>
      <x:c r="B143"/>
      <x:c r="C143"/>
      <x:c r="D143"/>
      <x:c r="E143" s="50"/>
      <x:c r="F143" s="50"/>
      <x:c r="G143" s="50" t="str">
        <x:f>IF(D143="","",D143*E143+F143)</x:f>
      </x:c>
      <x:c r="H143" s="50" t="str">
        <x:f>IFERROR(XLOOKUP(B143,'30th Products'!B:B,'30th Products'!C:C),"")</x:f>
      </x:c>
      <x:c r="I143" s="52" t="str">
        <x:f>IFERROR(E143/H143-1,"")</x:f>
      </x:c>
      <x:c r="J143" s="50"/>
      <x:c r="K143" s="50" t="str">
        <x:f>IF(D143="","",D143*J143)</x:f>
      </x:c>
      <x:c r="L143" s="50" t="str">
        <x:f>IF(K143="","",K143-G143)</x:f>
      </x:c>
      <x:c r="M143" t="str">
        <x:f>IFERROR(XLOOKUP(B143,'30th Products'!B:B,'30th Products'!E:E),"")</x:f>
      </x:c>
      <x:c r="N143"/>
      <x:c r="O143" s="31"/>
    </x:row>
    <x:row r="144">
      <x:c r="A144" s="48"/>
      <x:c r="B144"/>
      <x:c r="C144"/>
      <x:c r="D144"/>
      <x:c r="E144" s="50"/>
      <x:c r="F144" s="50"/>
      <x:c r="G144" s="50" t="str">
        <x:f>IF(D144="","",D144*E144+F144)</x:f>
      </x:c>
      <x:c r="H144" s="50" t="str">
        <x:f>IFERROR(XLOOKUP(B144,'30th Products'!B:B,'30th Products'!C:C),"")</x:f>
      </x:c>
      <x:c r="I144" s="52" t="str">
        <x:f>IFERROR(E144/H144-1,"")</x:f>
      </x:c>
      <x:c r="J144" s="50"/>
      <x:c r="K144" s="50" t="str">
        <x:f>IF(D144="","",D144*J144)</x:f>
      </x:c>
      <x:c r="L144" s="50" t="str">
        <x:f>IF(K144="","",K144-G144)</x:f>
      </x:c>
      <x:c r="M144" t="str">
        <x:f>IFERROR(XLOOKUP(B144,'30th Products'!B:B,'30th Products'!E:E),"")</x:f>
      </x:c>
      <x:c r="N144"/>
      <x:c r="O144" s="31"/>
    </x:row>
    <x:row r="145">
      <x:c r="A145" s="48"/>
      <x:c r="B145"/>
      <x:c r="C145"/>
      <x:c r="D145"/>
      <x:c r="E145" s="50"/>
      <x:c r="F145" s="50"/>
      <x:c r="G145" s="50" t="str">
        <x:f>IF(D145="","",D145*E145+F145)</x:f>
      </x:c>
      <x:c r="H145" s="50" t="str">
        <x:f>IFERROR(XLOOKUP(B145,'30th Products'!B:B,'30th Products'!C:C),"")</x:f>
      </x:c>
      <x:c r="I145" s="52" t="str">
        <x:f>IFERROR(E145/H145-1,"")</x:f>
      </x:c>
      <x:c r="J145" s="50"/>
      <x:c r="K145" s="50" t="str">
        <x:f>IF(D145="","",D145*J145)</x:f>
      </x:c>
      <x:c r="L145" s="50" t="str">
        <x:f>IF(K145="","",K145-G145)</x:f>
      </x:c>
      <x:c r="M145" t="str">
        <x:f>IFERROR(XLOOKUP(B145,'30th Products'!B:B,'30th Products'!E:E),"")</x:f>
      </x:c>
      <x:c r="N145"/>
      <x:c r="O145" s="31"/>
    </x:row>
    <x:row r="146">
      <x:c r="A146" s="48"/>
      <x:c r="B146"/>
      <x:c r="C146"/>
      <x:c r="D146"/>
      <x:c r="E146" s="50"/>
      <x:c r="F146" s="50"/>
      <x:c r="G146" s="50" t="str">
        <x:f>IF(D146="","",D146*E146+F146)</x:f>
      </x:c>
      <x:c r="H146" s="50" t="str">
        <x:f>IFERROR(XLOOKUP(B146,'30th Products'!B:B,'30th Products'!C:C),"")</x:f>
      </x:c>
      <x:c r="I146" s="52" t="str">
        <x:f>IFERROR(E146/H146-1,"")</x:f>
      </x:c>
      <x:c r="J146" s="50"/>
      <x:c r="K146" s="50" t="str">
        <x:f>IF(D146="","",D146*J146)</x:f>
      </x:c>
      <x:c r="L146" s="50" t="str">
        <x:f>IF(K146="","",K146-G146)</x:f>
      </x:c>
      <x:c r="M146" t="str">
        <x:f>IFERROR(XLOOKUP(B146,'30th Products'!B:B,'30th Products'!E:E),"")</x:f>
      </x:c>
      <x:c r="N146"/>
      <x:c r="O146" s="31"/>
    </x:row>
    <x:row r="147">
      <x:c r="A147" s="48"/>
      <x:c r="B147"/>
      <x:c r="C147"/>
      <x:c r="D147"/>
      <x:c r="E147" s="50"/>
      <x:c r="F147" s="50"/>
      <x:c r="G147" s="50" t="str">
        <x:f>IF(D147="","",D147*E147+F147)</x:f>
      </x:c>
      <x:c r="H147" s="50" t="str">
        <x:f>IFERROR(XLOOKUP(B147,'30th Products'!B:B,'30th Products'!C:C),"")</x:f>
      </x:c>
      <x:c r="I147" s="52" t="str">
        <x:f>IFERROR(E147/H147-1,"")</x:f>
      </x:c>
      <x:c r="J147" s="50"/>
      <x:c r="K147" s="50" t="str">
        <x:f>IF(D147="","",D147*J147)</x:f>
      </x:c>
      <x:c r="L147" s="50" t="str">
        <x:f>IF(K147="","",K147-G147)</x:f>
      </x:c>
      <x:c r="M147" t="str">
        <x:f>IFERROR(XLOOKUP(B147,'30th Products'!B:B,'30th Products'!E:E),"")</x:f>
      </x:c>
      <x:c r="N147"/>
      <x:c r="O147" s="31"/>
    </x:row>
    <x:row r="148">
      <x:c r="A148" s="48"/>
      <x:c r="B148"/>
      <x:c r="C148"/>
      <x:c r="D148"/>
      <x:c r="E148" s="50"/>
      <x:c r="F148" s="50"/>
      <x:c r="G148" s="50" t="str">
        <x:f>IF(D148="","",D148*E148+F148)</x:f>
      </x:c>
      <x:c r="H148" s="50" t="str">
        <x:f>IFERROR(XLOOKUP(B148,'30th Products'!B:B,'30th Products'!C:C),"")</x:f>
      </x:c>
      <x:c r="I148" s="52" t="str">
        <x:f>IFERROR(E148/H148-1,"")</x:f>
      </x:c>
      <x:c r="J148" s="50"/>
      <x:c r="K148" s="50" t="str">
        <x:f>IF(D148="","",D148*J148)</x:f>
      </x:c>
      <x:c r="L148" s="50" t="str">
        <x:f>IF(K148="","",K148-G148)</x:f>
      </x:c>
      <x:c r="M148" t="str">
        <x:f>IFERROR(XLOOKUP(B148,'30th Products'!B:B,'30th Products'!E:E),"")</x:f>
      </x:c>
      <x:c r="N148"/>
      <x:c r="O148" s="31"/>
    </x:row>
    <x:row r="149">
      <x:c r="A149" s="48"/>
      <x:c r="B149"/>
      <x:c r="C149"/>
      <x:c r="D149"/>
      <x:c r="E149" s="50"/>
      <x:c r="F149" s="50"/>
      <x:c r="G149" s="50" t="str">
        <x:f>IF(D149="","",D149*E149+F149)</x:f>
      </x:c>
      <x:c r="H149" s="50" t="str">
        <x:f>IFERROR(XLOOKUP(B149,'30th Products'!B:B,'30th Products'!C:C),"")</x:f>
      </x:c>
      <x:c r="I149" s="52" t="str">
        <x:f>IFERROR(E149/H149-1,"")</x:f>
      </x:c>
      <x:c r="J149" s="50"/>
      <x:c r="K149" s="50" t="str">
        <x:f>IF(D149="","",D149*J149)</x:f>
      </x:c>
      <x:c r="L149" s="50" t="str">
        <x:f>IF(K149="","",K149-G149)</x:f>
      </x:c>
      <x:c r="M149" t="str">
        <x:f>IFERROR(XLOOKUP(B149,'30th Products'!B:B,'30th Products'!E:E),"")</x:f>
      </x:c>
      <x:c r="N149"/>
      <x:c r="O149" s="31"/>
    </x:row>
    <x:row r="150">
      <x:c r="A150" s="48"/>
      <x:c r="B150"/>
      <x:c r="C150"/>
      <x:c r="D150"/>
      <x:c r="E150" s="50"/>
      <x:c r="F150" s="50"/>
      <x:c r="G150" s="50" t="str">
        <x:f>IF(D150="","",D150*E150+F150)</x:f>
      </x:c>
      <x:c r="H150" s="50" t="str">
        <x:f>IFERROR(XLOOKUP(B150,'30th Products'!B:B,'30th Products'!C:C),"")</x:f>
      </x:c>
      <x:c r="I150" s="52" t="str">
        <x:f>IFERROR(E150/H150-1,"")</x:f>
      </x:c>
      <x:c r="J150" s="50"/>
      <x:c r="K150" s="50" t="str">
        <x:f>IF(D150="","",D150*J150)</x:f>
      </x:c>
      <x:c r="L150" s="50" t="str">
        <x:f>IF(K150="","",K150-G150)</x:f>
      </x:c>
      <x:c r="M150" t="str">
        <x:f>IFERROR(XLOOKUP(B150,'30th Products'!B:B,'30th Products'!E:E),"")</x:f>
      </x:c>
      <x:c r="N150"/>
      <x:c r="O150" s="31"/>
    </x:row>
    <x:row r="151">
      <x:c r="A151" s="48"/>
      <x:c r="B151"/>
      <x:c r="C151"/>
      <x:c r="D151"/>
      <x:c r="E151" s="50"/>
      <x:c r="F151" s="50"/>
      <x:c r="G151" s="50" t="str">
        <x:f>IF(D151="","",D151*E151+F151)</x:f>
      </x:c>
      <x:c r="H151" s="50" t="str">
        <x:f>IFERROR(XLOOKUP(B151,'30th Products'!B:B,'30th Products'!C:C),"")</x:f>
      </x:c>
      <x:c r="I151" s="52" t="str">
        <x:f>IFERROR(E151/H151-1,"")</x:f>
      </x:c>
      <x:c r="J151" s="50"/>
      <x:c r="K151" s="50" t="str">
        <x:f>IF(D151="","",D151*J151)</x:f>
      </x:c>
      <x:c r="L151" s="50" t="str">
        <x:f>IF(K151="","",K151-G151)</x:f>
      </x:c>
      <x:c r="M151" t="str">
        <x:f>IFERROR(XLOOKUP(B151,'30th Products'!B:B,'30th Products'!E:E),"")</x:f>
      </x:c>
      <x:c r="N151"/>
      <x:c r="O151" s="31"/>
    </x:row>
    <x:row r="152">
      <x:c r="A152" s="48"/>
      <x:c r="B152"/>
      <x:c r="C152"/>
      <x:c r="D152"/>
      <x:c r="E152" s="50"/>
      <x:c r="F152" s="50"/>
      <x:c r="G152" s="50" t="str">
        <x:f>IF(D152="","",D152*E152+F152)</x:f>
      </x:c>
      <x:c r="H152" s="50" t="str">
        <x:f>IFERROR(XLOOKUP(B152,'30th Products'!B:B,'30th Products'!C:C),"")</x:f>
      </x:c>
      <x:c r="I152" s="52" t="str">
        <x:f>IFERROR(E152/H152-1,"")</x:f>
      </x:c>
      <x:c r="J152" s="50"/>
      <x:c r="K152" s="50" t="str">
        <x:f>IF(D152="","",D152*J152)</x:f>
      </x:c>
      <x:c r="L152" s="50" t="str">
        <x:f>IF(K152="","",K152-G152)</x:f>
      </x:c>
      <x:c r="M152" t="str">
        <x:f>IFERROR(XLOOKUP(B152,'30th Products'!B:B,'30th Products'!E:E),"")</x:f>
      </x:c>
      <x:c r="N152"/>
      <x:c r="O152" s="31"/>
    </x:row>
    <x:row r="153">
      <x:c r="A153" s="48"/>
      <x:c r="B153"/>
      <x:c r="C153"/>
      <x:c r="D153"/>
      <x:c r="E153" s="50"/>
      <x:c r="F153" s="50"/>
      <x:c r="G153" s="50" t="str">
        <x:f>IF(D153="","",D153*E153+F153)</x:f>
      </x:c>
      <x:c r="H153" s="50" t="str">
        <x:f>IFERROR(XLOOKUP(B153,'30th Products'!B:B,'30th Products'!C:C),"")</x:f>
      </x:c>
      <x:c r="I153" s="52" t="str">
        <x:f>IFERROR(E153/H153-1,"")</x:f>
      </x:c>
      <x:c r="J153" s="50"/>
      <x:c r="K153" s="50" t="str">
        <x:f>IF(D153="","",D153*J153)</x:f>
      </x:c>
      <x:c r="L153" s="50" t="str">
        <x:f>IF(K153="","",K153-G153)</x:f>
      </x:c>
      <x:c r="M153" t="str">
        <x:f>IFERROR(XLOOKUP(B153,'30th Products'!B:B,'30th Products'!E:E),"")</x:f>
      </x:c>
      <x:c r="N153"/>
      <x:c r="O153" s="31"/>
    </x:row>
    <x:row r="154">
      <x:c r="A154" s="48"/>
      <x:c r="B154"/>
      <x:c r="C154"/>
      <x:c r="D154"/>
      <x:c r="E154" s="50"/>
      <x:c r="F154" s="50"/>
      <x:c r="G154" s="50" t="str">
        <x:f>IF(D154="","",D154*E154+F154)</x:f>
      </x:c>
      <x:c r="H154" s="50" t="str">
        <x:f>IFERROR(XLOOKUP(B154,'30th Products'!B:B,'30th Products'!C:C),"")</x:f>
      </x:c>
      <x:c r="I154" s="52" t="str">
        <x:f>IFERROR(E154/H154-1,"")</x:f>
      </x:c>
      <x:c r="J154" s="50"/>
      <x:c r="K154" s="50" t="str">
        <x:f>IF(D154="","",D154*J154)</x:f>
      </x:c>
      <x:c r="L154" s="50" t="str">
        <x:f>IF(K154="","",K154-G154)</x:f>
      </x:c>
      <x:c r="M154" t="str">
        <x:f>IFERROR(XLOOKUP(B154,'30th Products'!B:B,'30th Products'!E:E),"")</x:f>
      </x:c>
      <x:c r="N154"/>
      <x:c r="O154" s="31"/>
    </x:row>
    <x:row r="155">
      <x:c r="A155" s="48"/>
      <x:c r="B155"/>
      <x:c r="C155"/>
      <x:c r="D155"/>
      <x:c r="E155" s="50"/>
      <x:c r="F155" s="50"/>
      <x:c r="G155" s="50" t="str">
        <x:f>IF(D155="","",D155*E155+F155)</x:f>
      </x:c>
      <x:c r="H155" s="50" t="str">
        <x:f>IFERROR(XLOOKUP(B155,'30th Products'!B:B,'30th Products'!C:C),"")</x:f>
      </x:c>
      <x:c r="I155" s="52" t="str">
        <x:f>IFERROR(E155/H155-1,"")</x:f>
      </x:c>
      <x:c r="J155" s="50"/>
      <x:c r="K155" s="50" t="str">
        <x:f>IF(D155="","",D155*J155)</x:f>
      </x:c>
      <x:c r="L155" s="50" t="str">
        <x:f>IF(K155="","",K155-G155)</x:f>
      </x:c>
      <x:c r="M155" t="str">
        <x:f>IFERROR(XLOOKUP(B155,'30th Products'!B:B,'30th Products'!E:E),"")</x:f>
      </x:c>
      <x:c r="N155"/>
      <x:c r="O155" s="31"/>
    </x:row>
    <x:row r="156">
      <x:c r="A156" s="48"/>
      <x:c r="B156"/>
      <x:c r="C156"/>
      <x:c r="D156"/>
      <x:c r="E156" s="50"/>
      <x:c r="F156" s="50"/>
      <x:c r="G156" s="50" t="str">
        <x:f>IF(D156="","",D156*E156+F156)</x:f>
      </x:c>
      <x:c r="H156" s="50" t="str">
        <x:f>IFERROR(XLOOKUP(B156,'30th Products'!B:B,'30th Products'!C:C),"")</x:f>
      </x:c>
      <x:c r="I156" s="52" t="str">
        <x:f>IFERROR(E156/H156-1,"")</x:f>
      </x:c>
      <x:c r="J156" s="50"/>
      <x:c r="K156" s="50" t="str">
        <x:f>IF(D156="","",D156*J156)</x:f>
      </x:c>
      <x:c r="L156" s="50" t="str">
        <x:f>IF(K156="","",K156-G156)</x:f>
      </x:c>
      <x:c r="M156" t="str">
        <x:f>IFERROR(XLOOKUP(B156,'30th Products'!B:B,'30th Products'!E:E),"")</x:f>
      </x:c>
      <x:c r="N156"/>
      <x:c r="O156" s="31"/>
    </x:row>
    <x:row r="157">
      <x:c r="A157" s="48"/>
      <x:c r="B157"/>
      <x:c r="C157"/>
      <x:c r="D157"/>
      <x:c r="E157" s="50"/>
      <x:c r="F157" s="50"/>
      <x:c r="G157" s="50" t="str">
        <x:f>IF(D157="","",D157*E157+F157)</x:f>
      </x:c>
      <x:c r="H157" s="50" t="str">
        <x:f>IFERROR(XLOOKUP(B157,'30th Products'!B:B,'30th Products'!C:C),"")</x:f>
      </x:c>
      <x:c r="I157" s="52" t="str">
        <x:f>IFERROR(E157/H157-1,"")</x:f>
      </x:c>
      <x:c r="J157" s="50"/>
      <x:c r="K157" s="50" t="str">
        <x:f>IF(D157="","",D157*J157)</x:f>
      </x:c>
      <x:c r="L157" s="50" t="str">
        <x:f>IF(K157="","",K157-G157)</x:f>
      </x:c>
      <x:c r="M157" t="str">
        <x:f>IFERROR(XLOOKUP(B157,'30th Products'!B:B,'30th Products'!E:E),"")</x:f>
      </x:c>
      <x:c r="N157"/>
      <x:c r="O157" s="31"/>
    </x:row>
    <x:row r="158">
      <x:c r="A158" s="48"/>
      <x:c r="B158"/>
      <x:c r="C158"/>
      <x:c r="D158"/>
      <x:c r="E158" s="50"/>
      <x:c r="F158" s="50"/>
      <x:c r="G158" s="50" t="str">
        <x:f>IF(D158="","",D158*E158+F158)</x:f>
      </x:c>
      <x:c r="H158" s="50" t="str">
        <x:f>IFERROR(XLOOKUP(B158,'30th Products'!B:B,'30th Products'!C:C),"")</x:f>
      </x:c>
      <x:c r="I158" s="52" t="str">
        <x:f>IFERROR(E158/H158-1,"")</x:f>
      </x:c>
      <x:c r="J158" s="50"/>
      <x:c r="K158" s="50" t="str">
        <x:f>IF(D158="","",D158*J158)</x:f>
      </x:c>
      <x:c r="L158" s="50" t="str">
        <x:f>IF(K158="","",K158-G158)</x:f>
      </x:c>
      <x:c r="M158" t="str">
        <x:f>IFERROR(XLOOKUP(B158,'30th Products'!B:B,'30th Products'!E:E),"")</x:f>
      </x:c>
      <x:c r="N158"/>
      <x:c r="O158" s="31"/>
    </x:row>
    <x:row r="159">
      <x:c r="A159" s="48"/>
      <x:c r="B159"/>
      <x:c r="C159"/>
      <x:c r="D159"/>
      <x:c r="E159" s="50"/>
      <x:c r="F159" s="50"/>
      <x:c r="G159" s="50" t="str">
        <x:f>IF(D159="","",D159*E159+F159)</x:f>
      </x:c>
      <x:c r="H159" s="50" t="str">
        <x:f>IFERROR(XLOOKUP(B159,'30th Products'!B:B,'30th Products'!C:C),"")</x:f>
      </x:c>
      <x:c r="I159" s="52" t="str">
        <x:f>IFERROR(E159/H159-1,"")</x:f>
      </x:c>
      <x:c r="J159" s="50"/>
      <x:c r="K159" s="50" t="str">
        <x:f>IF(D159="","",D159*J159)</x:f>
      </x:c>
      <x:c r="L159" s="50" t="str">
        <x:f>IF(K159="","",K159-G159)</x:f>
      </x:c>
      <x:c r="M159" t="str">
        <x:f>IFERROR(XLOOKUP(B159,'30th Products'!B:B,'30th Products'!E:E),"")</x:f>
      </x:c>
      <x:c r="N159"/>
      <x:c r="O159" s="31"/>
    </x:row>
    <x:row r="160">
      <x:c r="A160" s="48"/>
      <x:c r="B160"/>
      <x:c r="C160"/>
      <x:c r="D160"/>
      <x:c r="E160" s="50"/>
      <x:c r="F160" s="50"/>
      <x:c r="G160" s="50" t="str">
        <x:f>IF(D160="","",D160*E160+F160)</x:f>
      </x:c>
      <x:c r="H160" s="50" t="str">
        <x:f>IFERROR(XLOOKUP(B160,'30th Products'!B:B,'30th Products'!C:C),"")</x:f>
      </x:c>
      <x:c r="I160" s="52" t="str">
        <x:f>IFERROR(E160/H160-1,"")</x:f>
      </x:c>
      <x:c r="J160" s="50"/>
      <x:c r="K160" s="50" t="str">
        <x:f>IF(D160="","",D160*J160)</x:f>
      </x:c>
      <x:c r="L160" s="50" t="str">
        <x:f>IF(K160="","",K160-G160)</x:f>
      </x:c>
      <x:c r="M160" t="str">
        <x:f>IFERROR(XLOOKUP(B160,'30th Products'!B:B,'30th Products'!E:E),"")</x:f>
      </x:c>
      <x:c r="N160"/>
      <x:c r="O160" s="31"/>
    </x:row>
    <x:row r="161">
      <x:c r="A161" s="48"/>
      <x:c r="B161"/>
      <x:c r="C161"/>
      <x:c r="D161"/>
      <x:c r="E161" s="50"/>
      <x:c r="F161" s="50"/>
      <x:c r="G161" s="50" t="str">
        <x:f>IF(D161="","",D161*E161+F161)</x:f>
      </x:c>
      <x:c r="H161" s="50" t="str">
        <x:f>IFERROR(XLOOKUP(B161,'30th Products'!B:B,'30th Products'!C:C),"")</x:f>
      </x:c>
      <x:c r="I161" s="52" t="str">
        <x:f>IFERROR(E161/H161-1,"")</x:f>
      </x:c>
      <x:c r="J161" s="50"/>
      <x:c r="K161" s="50" t="str">
        <x:f>IF(D161="","",D161*J161)</x:f>
      </x:c>
      <x:c r="L161" s="50" t="str">
        <x:f>IF(K161="","",K161-G161)</x:f>
      </x:c>
      <x:c r="M161" t="str">
        <x:f>IFERROR(XLOOKUP(B161,'30th Products'!B:B,'30th Products'!E:E),"")</x:f>
      </x:c>
      <x:c r="N161"/>
      <x:c r="O161" s="31"/>
    </x:row>
    <x:row r="162">
      <x:c r="A162" s="48"/>
      <x:c r="B162"/>
      <x:c r="C162"/>
      <x:c r="D162"/>
      <x:c r="E162" s="50"/>
      <x:c r="F162" s="50"/>
      <x:c r="G162" s="50" t="str">
        <x:f>IF(D162="","",D162*E162+F162)</x:f>
      </x:c>
      <x:c r="H162" s="50" t="str">
        <x:f>IFERROR(XLOOKUP(B162,'30th Products'!B:B,'30th Products'!C:C),"")</x:f>
      </x:c>
      <x:c r="I162" s="52" t="str">
        <x:f>IFERROR(E162/H162-1,"")</x:f>
      </x:c>
      <x:c r="J162" s="50"/>
      <x:c r="K162" s="50" t="str">
        <x:f>IF(D162="","",D162*J162)</x:f>
      </x:c>
      <x:c r="L162" s="50" t="str">
        <x:f>IF(K162="","",K162-G162)</x:f>
      </x:c>
      <x:c r="M162" t="str">
        <x:f>IFERROR(XLOOKUP(B162,'30th Products'!B:B,'30th Products'!E:E),"")</x:f>
      </x:c>
      <x:c r="N162"/>
      <x:c r="O162" s="31"/>
    </x:row>
    <x:row r="163">
      <x:c r="A163" s="48"/>
      <x:c r="B163"/>
      <x:c r="C163"/>
      <x:c r="D163"/>
      <x:c r="E163" s="50"/>
      <x:c r="F163" s="50"/>
      <x:c r="G163" s="50" t="str">
        <x:f>IF(D163="","",D163*E163+F163)</x:f>
      </x:c>
      <x:c r="H163" s="50" t="str">
        <x:f>IFERROR(XLOOKUP(B163,'30th Products'!B:B,'30th Products'!C:C),"")</x:f>
      </x:c>
      <x:c r="I163" s="52" t="str">
        <x:f>IFERROR(E163/H163-1,"")</x:f>
      </x:c>
      <x:c r="J163" s="50"/>
      <x:c r="K163" s="50" t="str">
        <x:f>IF(D163="","",D163*J163)</x:f>
      </x:c>
      <x:c r="L163" s="50" t="str">
        <x:f>IF(K163="","",K163-G163)</x:f>
      </x:c>
      <x:c r="M163" t="str">
        <x:f>IFERROR(XLOOKUP(B163,'30th Products'!B:B,'30th Products'!E:E),"")</x:f>
      </x:c>
      <x:c r="N163"/>
      <x:c r="O163" s="31"/>
    </x:row>
    <x:row r="164">
      <x:c r="A164" s="48"/>
      <x:c r="B164"/>
      <x:c r="C164"/>
      <x:c r="D164"/>
      <x:c r="E164" s="50"/>
      <x:c r="F164" s="50"/>
      <x:c r="G164" s="50" t="str">
        <x:f>IF(D164="","",D164*E164+F164)</x:f>
      </x:c>
      <x:c r="H164" s="50" t="str">
        <x:f>IFERROR(XLOOKUP(B164,'30th Products'!B:B,'30th Products'!C:C),"")</x:f>
      </x:c>
      <x:c r="I164" s="52" t="str">
        <x:f>IFERROR(E164/H164-1,"")</x:f>
      </x:c>
      <x:c r="J164" s="50"/>
      <x:c r="K164" s="50" t="str">
        <x:f>IF(D164="","",D164*J164)</x:f>
      </x:c>
      <x:c r="L164" s="50" t="str">
        <x:f>IF(K164="","",K164-G164)</x:f>
      </x:c>
      <x:c r="M164" t="str">
        <x:f>IFERROR(XLOOKUP(B164,'30th Products'!B:B,'30th Products'!E:E),"")</x:f>
      </x:c>
      <x:c r="N164"/>
      <x:c r="O164" s="31"/>
    </x:row>
    <x:row r="165">
      <x:c r="A165" s="48"/>
      <x:c r="B165"/>
      <x:c r="C165"/>
      <x:c r="D165"/>
      <x:c r="E165" s="50"/>
      <x:c r="F165" s="50"/>
      <x:c r="G165" s="50" t="str">
        <x:f>IF(D165="","",D165*E165+F165)</x:f>
      </x:c>
      <x:c r="H165" s="50" t="str">
        <x:f>IFERROR(XLOOKUP(B165,'30th Products'!B:B,'30th Products'!C:C),"")</x:f>
      </x:c>
      <x:c r="I165" s="52" t="str">
        <x:f>IFERROR(E165/H165-1,"")</x:f>
      </x:c>
      <x:c r="J165" s="50"/>
      <x:c r="K165" s="50" t="str">
        <x:f>IF(D165="","",D165*J165)</x:f>
      </x:c>
      <x:c r="L165" s="50" t="str">
        <x:f>IF(K165="","",K165-G165)</x:f>
      </x:c>
      <x:c r="M165" t="str">
        <x:f>IFERROR(XLOOKUP(B165,'30th Products'!B:B,'30th Products'!E:E),"")</x:f>
      </x:c>
      <x:c r="N165"/>
      <x:c r="O165" s="31"/>
    </x:row>
    <x:row r="166">
      <x:c r="A166" s="48"/>
      <x:c r="B166"/>
      <x:c r="C166"/>
      <x:c r="D166"/>
      <x:c r="E166" s="50"/>
      <x:c r="F166" s="50"/>
      <x:c r="G166" s="50" t="str">
        <x:f>IF(D166="","",D166*E166+F166)</x:f>
      </x:c>
      <x:c r="H166" s="50" t="str">
        <x:f>IFERROR(XLOOKUP(B166,'30th Products'!B:B,'30th Products'!C:C),"")</x:f>
      </x:c>
      <x:c r="I166" s="52" t="str">
        <x:f>IFERROR(E166/H166-1,"")</x:f>
      </x:c>
      <x:c r="J166" s="50"/>
      <x:c r="K166" s="50" t="str">
        <x:f>IF(D166="","",D166*J166)</x:f>
      </x:c>
      <x:c r="L166" s="50" t="str">
        <x:f>IF(K166="","",K166-G166)</x:f>
      </x:c>
      <x:c r="M166" t="str">
        <x:f>IFERROR(XLOOKUP(B166,'30th Products'!B:B,'30th Products'!E:E),"")</x:f>
      </x:c>
      <x:c r="N166"/>
      <x:c r="O166" s="31"/>
    </x:row>
    <x:row r="167">
      <x:c r="A167" s="48"/>
      <x:c r="B167"/>
      <x:c r="C167"/>
      <x:c r="D167"/>
      <x:c r="E167" s="50"/>
      <x:c r="F167" s="50"/>
      <x:c r="G167" s="50" t="str">
        <x:f>IF(D167="","",D167*E167+F167)</x:f>
      </x:c>
      <x:c r="H167" s="50" t="str">
        <x:f>IFERROR(XLOOKUP(B167,'30th Products'!B:B,'30th Products'!C:C),"")</x:f>
      </x:c>
      <x:c r="I167" s="52" t="str">
        <x:f>IFERROR(E167/H167-1,"")</x:f>
      </x:c>
      <x:c r="J167" s="50"/>
      <x:c r="K167" s="50" t="str">
        <x:f>IF(D167="","",D167*J167)</x:f>
      </x:c>
      <x:c r="L167" s="50" t="str">
        <x:f>IF(K167="","",K167-G167)</x:f>
      </x:c>
      <x:c r="M167" t="str">
        <x:f>IFERROR(XLOOKUP(B167,'30th Products'!B:B,'30th Products'!E:E),"")</x:f>
      </x:c>
      <x:c r="N167"/>
      <x:c r="O167" s="31"/>
    </x:row>
    <x:row r="168">
      <x:c r="A168" s="48"/>
      <x:c r="B168"/>
      <x:c r="C168"/>
      <x:c r="D168"/>
      <x:c r="E168" s="50"/>
      <x:c r="F168" s="50"/>
      <x:c r="G168" s="50" t="str">
        <x:f>IF(D168="","",D168*E168+F168)</x:f>
      </x:c>
      <x:c r="H168" s="50" t="str">
        <x:f>IFERROR(XLOOKUP(B168,'30th Products'!B:B,'30th Products'!C:C),"")</x:f>
      </x:c>
      <x:c r="I168" s="52" t="str">
        <x:f>IFERROR(E168/H168-1,"")</x:f>
      </x:c>
      <x:c r="J168" s="50"/>
      <x:c r="K168" s="50" t="str">
        <x:f>IF(D168="","",D168*J168)</x:f>
      </x:c>
      <x:c r="L168" s="50" t="str">
        <x:f>IF(K168="","",K168-G168)</x:f>
      </x:c>
      <x:c r="M168" t="str">
        <x:f>IFERROR(XLOOKUP(B168,'30th Products'!B:B,'30th Products'!E:E),"")</x:f>
      </x:c>
      <x:c r="N168"/>
      <x:c r="O168" s="31"/>
    </x:row>
    <x:row r="169">
      <x:c r="A169" s="48"/>
      <x:c r="B169"/>
      <x:c r="C169"/>
      <x:c r="D169"/>
      <x:c r="E169" s="50"/>
      <x:c r="F169" s="50"/>
      <x:c r="G169" s="50" t="str">
        <x:f>IF(D169="","",D169*E169+F169)</x:f>
      </x:c>
      <x:c r="H169" s="50" t="str">
        <x:f>IFERROR(XLOOKUP(B169,'30th Products'!B:B,'30th Products'!C:C),"")</x:f>
      </x:c>
      <x:c r="I169" s="52" t="str">
        <x:f>IFERROR(E169/H169-1,"")</x:f>
      </x:c>
      <x:c r="J169" s="50"/>
      <x:c r="K169" s="50" t="str">
        <x:f>IF(D169="","",D169*J169)</x:f>
      </x:c>
      <x:c r="L169" s="50" t="str">
        <x:f>IF(K169="","",K169-G169)</x:f>
      </x:c>
      <x:c r="M169" t="str">
        <x:f>IFERROR(XLOOKUP(B169,'30th Products'!B:B,'30th Products'!E:E),"")</x:f>
      </x:c>
      <x:c r="N169"/>
      <x:c r="O169" s="31"/>
    </x:row>
    <x:row r="170">
      <x:c r="A170" s="48"/>
      <x:c r="B170"/>
      <x:c r="C170"/>
      <x:c r="D170"/>
      <x:c r="E170" s="50"/>
      <x:c r="F170" s="50"/>
      <x:c r="G170" s="50" t="str">
        <x:f>IF(D170="","",D170*E170+F170)</x:f>
      </x:c>
      <x:c r="H170" s="50" t="str">
        <x:f>IFERROR(XLOOKUP(B170,'30th Products'!B:B,'30th Products'!C:C),"")</x:f>
      </x:c>
      <x:c r="I170" s="52" t="str">
        <x:f>IFERROR(E170/H170-1,"")</x:f>
      </x:c>
      <x:c r="J170" s="50"/>
      <x:c r="K170" s="50" t="str">
        <x:f>IF(D170="","",D170*J170)</x:f>
      </x:c>
      <x:c r="L170" s="50" t="str">
        <x:f>IF(K170="","",K170-G170)</x:f>
      </x:c>
      <x:c r="M170" t="str">
        <x:f>IFERROR(XLOOKUP(B170,'30th Products'!B:B,'30th Products'!E:E),"")</x:f>
      </x:c>
      <x:c r="N170"/>
      <x:c r="O170" s="31"/>
    </x:row>
    <x:row r="171">
      <x:c r="A171" s="48"/>
      <x:c r="B171"/>
      <x:c r="C171"/>
      <x:c r="D171"/>
      <x:c r="E171" s="50"/>
      <x:c r="F171" s="50"/>
      <x:c r="G171" s="50" t="str">
        <x:f>IF(D171="","",D171*E171+F171)</x:f>
      </x:c>
      <x:c r="H171" s="50" t="str">
        <x:f>IFERROR(XLOOKUP(B171,'30th Products'!B:B,'30th Products'!C:C),"")</x:f>
      </x:c>
      <x:c r="I171" s="52" t="str">
        <x:f>IFERROR(E171/H171-1,"")</x:f>
      </x:c>
      <x:c r="J171" s="50"/>
      <x:c r="K171" s="50" t="str">
        <x:f>IF(D171="","",D171*J171)</x:f>
      </x:c>
      <x:c r="L171" s="50" t="str">
        <x:f>IF(K171="","",K171-G171)</x:f>
      </x:c>
      <x:c r="M171" t="str">
        <x:f>IFERROR(XLOOKUP(B171,'30th Products'!B:B,'30th Products'!E:E),"")</x:f>
      </x:c>
      <x:c r="N171"/>
      <x:c r="O171" s="31"/>
    </x:row>
    <x:row r="172">
      <x:c r="A172" s="48"/>
      <x:c r="B172"/>
      <x:c r="C172"/>
      <x:c r="D172"/>
      <x:c r="E172" s="50"/>
      <x:c r="F172" s="50"/>
      <x:c r="G172" s="50" t="str">
        <x:f>IF(D172="","",D172*E172+F172)</x:f>
      </x:c>
      <x:c r="H172" s="50" t="str">
        <x:f>IFERROR(XLOOKUP(B172,'30th Products'!B:B,'30th Products'!C:C),"")</x:f>
      </x:c>
      <x:c r="I172" s="52" t="str">
        <x:f>IFERROR(E172/H172-1,"")</x:f>
      </x:c>
      <x:c r="J172" s="50"/>
      <x:c r="K172" s="50" t="str">
        <x:f>IF(D172="","",D172*J172)</x:f>
      </x:c>
      <x:c r="L172" s="50" t="str">
        <x:f>IF(K172="","",K172-G172)</x:f>
      </x:c>
      <x:c r="M172" t="str">
        <x:f>IFERROR(XLOOKUP(B172,'30th Products'!B:B,'30th Products'!E:E),"")</x:f>
      </x:c>
      <x:c r="N172"/>
      <x:c r="O172" s="31"/>
    </x:row>
    <x:row r="173">
      <x:c r="A173" s="48"/>
      <x:c r="B173"/>
      <x:c r="C173"/>
      <x:c r="D173"/>
      <x:c r="E173" s="50"/>
      <x:c r="F173" s="50"/>
      <x:c r="G173" s="50" t="str">
        <x:f>IF(D173="","",D173*E173+F173)</x:f>
      </x:c>
      <x:c r="H173" s="50" t="str">
        <x:f>IFERROR(XLOOKUP(B173,'30th Products'!B:B,'30th Products'!C:C),"")</x:f>
      </x:c>
      <x:c r="I173" s="52" t="str">
        <x:f>IFERROR(E173/H173-1,"")</x:f>
      </x:c>
      <x:c r="J173" s="50"/>
      <x:c r="K173" s="50" t="str">
        <x:f>IF(D173="","",D173*J173)</x:f>
      </x:c>
      <x:c r="L173" s="50" t="str">
        <x:f>IF(K173="","",K173-G173)</x:f>
      </x:c>
      <x:c r="M173" t="str">
        <x:f>IFERROR(XLOOKUP(B173,'30th Products'!B:B,'30th Products'!E:E),"")</x:f>
      </x:c>
      <x:c r="N173"/>
      <x:c r="O173" s="31"/>
    </x:row>
    <x:row r="174">
      <x:c r="A174" s="48"/>
      <x:c r="B174"/>
      <x:c r="C174"/>
      <x:c r="D174"/>
      <x:c r="E174" s="50"/>
      <x:c r="F174" s="50"/>
      <x:c r="G174" s="50" t="str">
        <x:f>IF(D174="","",D174*E174+F174)</x:f>
      </x:c>
      <x:c r="H174" s="50" t="str">
        <x:f>IFERROR(XLOOKUP(B174,'30th Products'!B:B,'30th Products'!C:C),"")</x:f>
      </x:c>
      <x:c r="I174" s="52" t="str">
        <x:f>IFERROR(E174/H174-1,"")</x:f>
      </x:c>
      <x:c r="J174" s="50"/>
      <x:c r="K174" s="50" t="str">
        <x:f>IF(D174="","",D174*J174)</x:f>
      </x:c>
      <x:c r="L174" s="50" t="str">
        <x:f>IF(K174="","",K174-G174)</x:f>
      </x:c>
      <x:c r="M174" t="str">
        <x:f>IFERROR(XLOOKUP(B174,'30th Products'!B:B,'30th Products'!E:E),"")</x:f>
      </x:c>
      <x:c r="N174"/>
      <x:c r="O174" s="31"/>
    </x:row>
    <x:row r="175">
      <x:c r="A175" s="48"/>
      <x:c r="B175"/>
      <x:c r="C175"/>
      <x:c r="D175"/>
      <x:c r="E175" s="50"/>
      <x:c r="F175" s="50"/>
      <x:c r="G175" s="50" t="str">
        <x:f>IF(D175="","",D175*E175+F175)</x:f>
      </x:c>
      <x:c r="H175" s="50" t="str">
        <x:f>IFERROR(XLOOKUP(B175,'30th Products'!B:B,'30th Products'!C:C),"")</x:f>
      </x:c>
      <x:c r="I175" s="52" t="str">
        <x:f>IFERROR(E175/H175-1,"")</x:f>
      </x:c>
      <x:c r="J175" s="50"/>
      <x:c r="K175" s="50" t="str">
        <x:f>IF(D175="","",D175*J175)</x:f>
      </x:c>
      <x:c r="L175" s="50" t="str">
        <x:f>IF(K175="","",K175-G175)</x:f>
      </x:c>
      <x:c r="M175" t="str">
        <x:f>IFERROR(XLOOKUP(B175,'30th Products'!B:B,'30th Products'!E:E),"")</x:f>
      </x:c>
      <x:c r="N175"/>
      <x:c r="O175" s="31"/>
    </x:row>
    <x:row r="176">
      <x:c r="A176" s="48"/>
      <x:c r="B176"/>
      <x:c r="C176"/>
      <x:c r="D176"/>
      <x:c r="E176" s="50"/>
      <x:c r="F176" s="50"/>
      <x:c r="G176" s="50" t="str">
        <x:f>IF(D176="","",D176*E176+F176)</x:f>
      </x:c>
      <x:c r="H176" s="50" t="str">
        <x:f>IFERROR(XLOOKUP(B176,'30th Products'!B:B,'30th Products'!C:C),"")</x:f>
      </x:c>
      <x:c r="I176" s="52" t="str">
        <x:f>IFERROR(E176/H176-1,"")</x:f>
      </x:c>
      <x:c r="J176" s="50"/>
      <x:c r="K176" s="50" t="str">
        <x:f>IF(D176="","",D176*J176)</x:f>
      </x:c>
      <x:c r="L176" s="50" t="str">
        <x:f>IF(K176="","",K176-G176)</x:f>
      </x:c>
      <x:c r="M176" t="str">
        <x:f>IFERROR(XLOOKUP(B176,'30th Products'!B:B,'30th Products'!E:E),"")</x:f>
      </x:c>
      <x:c r="N176"/>
      <x:c r="O176" s="31"/>
    </x:row>
    <x:row r="177">
      <x:c r="A177" s="48"/>
      <x:c r="B177"/>
      <x:c r="C177"/>
      <x:c r="D177"/>
      <x:c r="E177" s="50"/>
      <x:c r="F177" s="50"/>
      <x:c r="G177" s="50" t="str">
        <x:f>IF(D177="","",D177*E177+F177)</x:f>
      </x:c>
      <x:c r="H177" s="50" t="str">
        <x:f>IFERROR(XLOOKUP(B177,'30th Products'!B:B,'30th Products'!C:C),"")</x:f>
      </x:c>
      <x:c r="I177" s="52" t="str">
        <x:f>IFERROR(E177/H177-1,"")</x:f>
      </x:c>
      <x:c r="J177" s="50"/>
      <x:c r="K177" s="50" t="str">
        <x:f>IF(D177="","",D177*J177)</x:f>
      </x:c>
      <x:c r="L177" s="50" t="str">
        <x:f>IF(K177="","",K177-G177)</x:f>
      </x:c>
      <x:c r="M177" t="str">
        <x:f>IFERROR(XLOOKUP(B177,'30th Products'!B:B,'30th Products'!E:E),"")</x:f>
      </x:c>
      <x:c r="N177"/>
      <x:c r="O177" s="31"/>
    </x:row>
    <x:row r="178">
      <x:c r="A178" s="48"/>
      <x:c r="B178"/>
      <x:c r="C178"/>
      <x:c r="D178"/>
      <x:c r="E178" s="50"/>
      <x:c r="F178" s="50"/>
      <x:c r="G178" s="50" t="str">
        <x:f>IF(D178="","",D178*E178+F178)</x:f>
      </x:c>
      <x:c r="H178" s="50" t="str">
        <x:f>IFERROR(XLOOKUP(B178,'30th Products'!B:B,'30th Products'!C:C),"")</x:f>
      </x:c>
      <x:c r="I178" s="52" t="str">
        <x:f>IFERROR(E178/H178-1,"")</x:f>
      </x:c>
      <x:c r="J178" s="50"/>
      <x:c r="K178" s="50" t="str">
        <x:f>IF(D178="","",D178*J178)</x:f>
      </x:c>
      <x:c r="L178" s="50" t="str">
        <x:f>IF(K178="","",K178-G178)</x:f>
      </x:c>
      <x:c r="M178" t="str">
        <x:f>IFERROR(XLOOKUP(B178,'30th Products'!B:B,'30th Products'!E:E),"")</x:f>
      </x:c>
      <x:c r="N178"/>
      <x:c r="O178" s="31"/>
    </x:row>
    <x:row r="179">
      <x:c r="A179" s="48"/>
      <x:c r="B179"/>
      <x:c r="C179"/>
      <x:c r="D179"/>
      <x:c r="E179" s="50"/>
      <x:c r="F179" s="50"/>
      <x:c r="G179" s="50" t="str">
        <x:f>IF(D179="","",D179*E179+F179)</x:f>
      </x:c>
      <x:c r="H179" s="50" t="str">
        <x:f>IFERROR(XLOOKUP(B179,'30th Products'!B:B,'30th Products'!C:C),"")</x:f>
      </x:c>
      <x:c r="I179" s="52" t="str">
        <x:f>IFERROR(E179/H179-1,"")</x:f>
      </x:c>
      <x:c r="J179" s="50"/>
      <x:c r="K179" s="50" t="str">
        <x:f>IF(D179="","",D179*J179)</x:f>
      </x:c>
      <x:c r="L179" s="50" t="str">
        <x:f>IF(K179="","",K179-G179)</x:f>
      </x:c>
      <x:c r="M179" t="str">
        <x:f>IFERROR(XLOOKUP(B179,'30th Products'!B:B,'30th Products'!E:E),"")</x:f>
      </x:c>
      <x:c r="N179"/>
      <x:c r="O179" s="31"/>
    </x:row>
    <x:row r="180">
      <x:c r="A180" s="48"/>
      <x:c r="B180"/>
      <x:c r="C180"/>
      <x:c r="D180"/>
      <x:c r="E180" s="50"/>
      <x:c r="F180" s="50"/>
      <x:c r="G180" s="50" t="str">
        <x:f>IF(D180="","",D180*E180+F180)</x:f>
      </x:c>
      <x:c r="H180" s="50" t="str">
        <x:f>IFERROR(XLOOKUP(B180,'30th Products'!B:B,'30th Products'!C:C),"")</x:f>
      </x:c>
      <x:c r="I180" s="52" t="str">
        <x:f>IFERROR(E180/H180-1,"")</x:f>
      </x:c>
      <x:c r="J180" s="50"/>
      <x:c r="K180" s="50" t="str">
        <x:f>IF(D180="","",D180*J180)</x:f>
      </x:c>
      <x:c r="L180" s="50" t="str">
        <x:f>IF(K180="","",K180-G180)</x:f>
      </x:c>
      <x:c r="M180" t="str">
        <x:f>IFERROR(XLOOKUP(B180,'30th Products'!B:B,'30th Products'!E:E),"")</x:f>
      </x:c>
      <x:c r="N180"/>
      <x:c r="O180" s="31"/>
    </x:row>
    <x:row r="181">
      <x:c r="A181" s="48"/>
      <x:c r="B181"/>
      <x:c r="C181"/>
      <x:c r="D181"/>
      <x:c r="E181" s="50"/>
      <x:c r="F181" s="50"/>
      <x:c r="G181" s="50" t="str">
        <x:f>IF(D181="","",D181*E181+F181)</x:f>
      </x:c>
      <x:c r="H181" s="50" t="str">
        <x:f>IFERROR(XLOOKUP(B181,'30th Products'!B:B,'30th Products'!C:C),"")</x:f>
      </x:c>
      <x:c r="I181" s="52" t="str">
        <x:f>IFERROR(E181/H181-1,"")</x:f>
      </x:c>
      <x:c r="J181" s="50"/>
      <x:c r="K181" s="50" t="str">
        <x:f>IF(D181="","",D181*J181)</x:f>
      </x:c>
      <x:c r="L181" s="50" t="str">
        <x:f>IF(K181="","",K181-G181)</x:f>
      </x:c>
      <x:c r="M181" t="str">
        <x:f>IFERROR(XLOOKUP(B181,'30th Products'!B:B,'30th Products'!E:E),"")</x:f>
      </x:c>
      <x:c r="N181"/>
      <x:c r="O181" s="31"/>
    </x:row>
    <x:row r="182">
      <x:c r="A182" s="48"/>
      <x:c r="B182"/>
      <x:c r="C182"/>
      <x:c r="D182"/>
      <x:c r="E182" s="50"/>
      <x:c r="F182" s="50"/>
      <x:c r="G182" s="50" t="str">
        <x:f>IF(D182="","",D182*E182+F182)</x:f>
      </x:c>
      <x:c r="H182" s="50" t="str">
        <x:f>IFERROR(XLOOKUP(B182,'30th Products'!B:B,'30th Products'!C:C),"")</x:f>
      </x:c>
      <x:c r="I182" s="52" t="str">
        <x:f>IFERROR(E182/H182-1,"")</x:f>
      </x:c>
      <x:c r="J182" s="50"/>
      <x:c r="K182" s="50" t="str">
        <x:f>IF(D182="","",D182*J182)</x:f>
      </x:c>
      <x:c r="L182" s="50" t="str">
        <x:f>IF(K182="","",K182-G182)</x:f>
      </x:c>
      <x:c r="M182" t="str">
        <x:f>IFERROR(XLOOKUP(B182,'30th Products'!B:B,'30th Products'!E:E),"")</x:f>
      </x:c>
      <x:c r="N182"/>
      <x:c r="O182" s="31"/>
    </x:row>
    <x:row r="183">
      <x:c r="A183" s="48"/>
      <x:c r="B183"/>
      <x:c r="C183"/>
      <x:c r="D183"/>
      <x:c r="E183" s="50"/>
      <x:c r="F183" s="50"/>
      <x:c r="G183" s="50" t="str">
        <x:f>IF(D183="","",D183*E183+F183)</x:f>
      </x:c>
      <x:c r="H183" s="50" t="str">
        <x:f>IFERROR(XLOOKUP(B183,'30th Products'!B:B,'30th Products'!C:C),"")</x:f>
      </x:c>
      <x:c r="I183" s="52" t="str">
        <x:f>IFERROR(E183/H183-1,"")</x:f>
      </x:c>
      <x:c r="J183" s="50"/>
      <x:c r="K183" s="50" t="str">
        <x:f>IF(D183="","",D183*J183)</x:f>
      </x:c>
      <x:c r="L183" s="50" t="str">
        <x:f>IF(K183="","",K183-G183)</x:f>
      </x:c>
      <x:c r="M183" t="str">
        <x:f>IFERROR(XLOOKUP(B183,'30th Products'!B:B,'30th Products'!E:E),"")</x:f>
      </x:c>
      <x:c r="N183"/>
      <x:c r="O183" s="31"/>
    </x:row>
    <x:row r="184">
      <x:c r="A184" s="48"/>
      <x:c r="B184"/>
      <x:c r="C184"/>
      <x:c r="D184"/>
      <x:c r="E184" s="50"/>
      <x:c r="F184" s="50"/>
      <x:c r="G184" s="50" t="str">
        <x:f>IF(D184="","",D184*E184+F184)</x:f>
      </x:c>
      <x:c r="H184" s="50" t="str">
        <x:f>IFERROR(XLOOKUP(B184,'30th Products'!B:B,'30th Products'!C:C),"")</x:f>
      </x:c>
      <x:c r="I184" s="52" t="str">
        <x:f>IFERROR(E184/H184-1,"")</x:f>
      </x:c>
      <x:c r="J184" s="50"/>
      <x:c r="K184" s="50" t="str">
        <x:f>IF(D184="","",D184*J184)</x:f>
      </x:c>
      <x:c r="L184" s="50" t="str">
        <x:f>IF(K184="","",K184-G184)</x:f>
      </x:c>
      <x:c r="M184" t="str">
        <x:f>IFERROR(XLOOKUP(B184,'30th Products'!B:B,'30th Products'!E:E),"")</x:f>
      </x:c>
      <x:c r="N184"/>
      <x:c r="O184" s="31"/>
    </x:row>
    <x:row r="185">
      <x:c r="A185" s="48"/>
      <x:c r="B185"/>
      <x:c r="C185"/>
      <x:c r="D185"/>
      <x:c r="E185" s="50"/>
      <x:c r="F185" s="50"/>
      <x:c r="G185" s="50" t="str">
        <x:f>IF(D185="","",D185*E185+F185)</x:f>
      </x:c>
      <x:c r="H185" s="50" t="str">
        <x:f>IFERROR(XLOOKUP(B185,'30th Products'!B:B,'30th Products'!C:C),"")</x:f>
      </x:c>
      <x:c r="I185" s="52" t="str">
        <x:f>IFERROR(E185/H185-1,"")</x:f>
      </x:c>
      <x:c r="J185" s="50"/>
      <x:c r="K185" s="50" t="str">
        <x:f>IF(D185="","",D185*J185)</x:f>
      </x:c>
      <x:c r="L185" s="50" t="str">
        <x:f>IF(K185="","",K185-G185)</x:f>
      </x:c>
      <x:c r="M185" t="str">
        <x:f>IFERROR(XLOOKUP(B185,'30th Products'!B:B,'30th Products'!E:E),"")</x:f>
      </x:c>
      <x:c r="N185"/>
      <x:c r="O185" s="31"/>
    </x:row>
    <x:row r="186">
      <x:c r="A186" s="48"/>
      <x:c r="B186"/>
      <x:c r="C186"/>
      <x:c r="D186"/>
      <x:c r="E186" s="50"/>
      <x:c r="F186" s="50"/>
      <x:c r="G186" s="50" t="str">
        <x:f>IF(D186="","",D186*E186+F186)</x:f>
      </x:c>
      <x:c r="H186" s="50" t="str">
        <x:f>IFERROR(XLOOKUP(B186,'30th Products'!B:B,'30th Products'!C:C),"")</x:f>
      </x:c>
      <x:c r="I186" s="52" t="str">
        <x:f>IFERROR(E186/H186-1,"")</x:f>
      </x:c>
      <x:c r="J186" s="50"/>
      <x:c r="K186" s="50" t="str">
        <x:f>IF(D186="","",D186*J186)</x:f>
      </x:c>
      <x:c r="L186" s="50" t="str">
        <x:f>IF(K186="","",K186-G186)</x:f>
      </x:c>
      <x:c r="M186" t="str">
        <x:f>IFERROR(XLOOKUP(B186,'30th Products'!B:B,'30th Products'!E:E),"")</x:f>
      </x:c>
      <x:c r="N186"/>
      <x:c r="O186" s="31"/>
    </x:row>
    <x:row r="187">
      <x:c r="A187" s="48"/>
      <x:c r="B187"/>
      <x:c r="C187"/>
      <x:c r="D187"/>
      <x:c r="E187" s="50"/>
      <x:c r="F187" s="50"/>
      <x:c r="G187" s="50" t="str">
        <x:f>IF(D187="","",D187*E187+F187)</x:f>
      </x:c>
      <x:c r="H187" s="50" t="str">
        <x:f>IFERROR(XLOOKUP(B187,'30th Products'!B:B,'30th Products'!C:C),"")</x:f>
      </x:c>
      <x:c r="I187" s="52" t="str">
        <x:f>IFERROR(E187/H187-1,"")</x:f>
      </x:c>
      <x:c r="J187" s="50"/>
      <x:c r="K187" s="50" t="str">
        <x:f>IF(D187="","",D187*J187)</x:f>
      </x:c>
      <x:c r="L187" s="50" t="str">
        <x:f>IF(K187="","",K187-G187)</x:f>
      </x:c>
      <x:c r="M187" t="str">
        <x:f>IFERROR(XLOOKUP(B187,'30th Products'!B:B,'30th Products'!E:E),"")</x:f>
      </x:c>
      <x:c r="N187"/>
      <x:c r="O187" s="31"/>
    </x:row>
    <x:row r="188">
      <x:c r="A188" s="48"/>
      <x:c r="B188"/>
      <x:c r="C188"/>
      <x:c r="D188"/>
      <x:c r="E188" s="50"/>
      <x:c r="F188" s="50"/>
      <x:c r="G188" s="50" t="str">
        <x:f>IF(D188="","",D188*E188+F188)</x:f>
      </x:c>
      <x:c r="H188" s="50" t="str">
        <x:f>IFERROR(XLOOKUP(B188,'30th Products'!B:B,'30th Products'!C:C),"")</x:f>
      </x:c>
      <x:c r="I188" s="52" t="str">
        <x:f>IFERROR(E188/H188-1,"")</x:f>
      </x:c>
      <x:c r="J188" s="50"/>
      <x:c r="K188" s="50" t="str">
        <x:f>IF(D188="","",D188*J188)</x:f>
      </x:c>
      <x:c r="L188" s="50" t="str">
        <x:f>IF(K188="","",K188-G188)</x:f>
      </x:c>
      <x:c r="M188" t="str">
        <x:f>IFERROR(XLOOKUP(B188,'30th Products'!B:B,'30th Products'!E:E),"")</x:f>
      </x:c>
      <x:c r="N188"/>
      <x:c r="O188" s="31"/>
    </x:row>
    <x:row r="189">
      <x:c r="A189" s="48"/>
      <x:c r="B189"/>
      <x:c r="C189"/>
      <x:c r="D189"/>
      <x:c r="E189" s="50"/>
      <x:c r="F189" s="50"/>
      <x:c r="G189" s="50" t="str">
        <x:f>IF(D189="","",D189*E189+F189)</x:f>
      </x:c>
      <x:c r="H189" s="50" t="str">
        <x:f>IFERROR(XLOOKUP(B189,'30th Products'!B:B,'30th Products'!C:C),"")</x:f>
      </x:c>
      <x:c r="I189" s="52" t="str">
        <x:f>IFERROR(E189/H189-1,"")</x:f>
      </x:c>
      <x:c r="J189" s="50"/>
      <x:c r="K189" s="50" t="str">
        <x:f>IF(D189="","",D189*J189)</x:f>
      </x:c>
      <x:c r="L189" s="50" t="str">
        <x:f>IF(K189="","",K189-G189)</x:f>
      </x:c>
      <x:c r="M189" t="str">
        <x:f>IFERROR(XLOOKUP(B189,'30th Products'!B:B,'30th Products'!E:E),"")</x:f>
      </x:c>
      <x:c r="N189"/>
      <x:c r="O189" s="31"/>
    </x:row>
    <x:row r="190">
      <x:c r="A190" s="48"/>
      <x:c r="B190"/>
      <x:c r="C190"/>
      <x:c r="D190"/>
      <x:c r="E190" s="50"/>
      <x:c r="F190" s="50"/>
      <x:c r="G190" s="50" t="str">
        <x:f>IF(D190="","",D190*E190+F190)</x:f>
      </x:c>
      <x:c r="H190" s="50" t="str">
        <x:f>IFERROR(XLOOKUP(B190,'30th Products'!B:B,'30th Products'!C:C),"")</x:f>
      </x:c>
      <x:c r="I190" s="52" t="str">
        <x:f>IFERROR(E190/H190-1,"")</x:f>
      </x:c>
      <x:c r="J190" s="50"/>
      <x:c r="K190" s="50" t="str">
        <x:f>IF(D190="","",D190*J190)</x:f>
      </x:c>
      <x:c r="L190" s="50" t="str">
        <x:f>IF(K190="","",K190-G190)</x:f>
      </x:c>
      <x:c r="M190" t="str">
        <x:f>IFERROR(XLOOKUP(B190,'30th Products'!B:B,'30th Products'!E:E),"")</x:f>
      </x:c>
      <x:c r="N190"/>
      <x:c r="O190" s="31"/>
    </x:row>
    <x:row r="191">
      <x:c r="A191" s="48"/>
      <x:c r="B191"/>
      <x:c r="C191"/>
      <x:c r="D191"/>
      <x:c r="E191" s="50"/>
      <x:c r="F191" s="50"/>
      <x:c r="G191" s="50" t="str">
        <x:f>IF(D191="","",D191*E191+F191)</x:f>
      </x:c>
      <x:c r="H191" s="50" t="str">
        <x:f>IFERROR(XLOOKUP(B191,'30th Products'!B:B,'30th Products'!C:C),"")</x:f>
      </x:c>
      <x:c r="I191" s="52" t="str">
        <x:f>IFERROR(E191/H191-1,"")</x:f>
      </x:c>
      <x:c r="J191" s="50"/>
      <x:c r="K191" s="50" t="str">
        <x:f>IF(D191="","",D191*J191)</x:f>
      </x:c>
      <x:c r="L191" s="50" t="str">
        <x:f>IF(K191="","",K191-G191)</x:f>
      </x:c>
      <x:c r="M191" t="str">
        <x:f>IFERROR(XLOOKUP(B191,'30th Products'!B:B,'30th Products'!E:E),"")</x:f>
      </x:c>
      <x:c r="N191"/>
      <x:c r="O191" s="31"/>
    </x:row>
    <x:row r="192">
      <x:c r="A192" s="48"/>
      <x:c r="B192"/>
      <x:c r="C192"/>
      <x:c r="D192"/>
      <x:c r="E192" s="50"/>
      <x:c r="F192" s="50"/>
      <x:c r="G192" s="50" t="str">
        <x:f>IF(D192="","",D192*E192+F192)</x:f>
      </x:c>
      <x:c r="H192" s="50" t="str">
        <x:f>IFERROR(XLOOKUP(B192,'30th Products'!B:B,'30th Products'!C:C),"")</x:f>
      </x:c>
      <x:c r="I192" s="52" t="str">
        <x:f>IFERROR(E192/H192-1,"")</x:f>
      </x:c>
      <x:c r="J192" s="50"/>
      <x:c r="K192" s="50" t="str">
        <x:f>IF(D192="","",D192*J192)</x:f>
      </x:c>
      <x:c r="L192" s="50" t="str">
        <x:f>IF(K192="","",K192-G192)</x:f>
      </x:c>
      <x:c r="M192" t="str">
        <x:f>IFERROR(XLOOKUP(B192,'30th Products'!B:B,'30th Products'!E:E),"")</x:f>
      </x:c>
      <x:c r="N192"/>
      <x:c r="O192" s="31"/>
    </x:row>
    <x:row r="193">
      <x:c r="A193" s="48"/>
      <x:c r="B193"/>
      <x:c r="C193"/>
      <x:c r="D193"/>
      <x:c r="E193" s="50"/>
      <x:c r="F193" s="50"/>
      <x:c r="G193" s="50" t="str">
        <x:f>IF(D193="","",D193*E193+F193)</x:f>
      </x:c>
      <x:c r="H193" s="50" t="str">
        <x:f>IFERROR(XLOOKUP(B193,'30th Products'!B:B,'30th Products'!C:C),"")</x:f>
      </x:c>
      <x:c r="I193" s="52" t="str">
        <x:f>IFERROR(E193/H193-1,"")</x:f>
      </x:c>
      <x:c r="J193" s="50"/>
      <x:c r="K193" s="50" t="str">
        <x:f>IF(D193="","",D193*J193)</x:f>
      </x:c>
      <x:c r="L193" s="50" t="str">
        <x:f>IF(K193="","",K193-G193)</x:f>
      </x:c>
      <x:c r="M193" t="str">
        <x:f>IFERROR(XLOOKUP(B193,'30th Products'!B:B,'30th Products'!E:E),"")</x:f>
      </x:c>
      <x:c r="N193"/>
      <x:c r="O193" s="31"/>
    </x:row>
    <x:row r="194">
      <x:c r="A194" s="48"/>
      <x:c r="B194"/>
      <x:c r="C194"/>
      <x:c r="D194"/>
      <x:c r="E194" s="50"/>
      <x:c r="F194" s="50"/>
      <x:c r="G194" s="50" t="str">
        <x:f>IF(D194="","",D194*E194+F194)</x:f>
      </x:c>
      <x:c r="H194" s="50" t="str">
        <x:f>IFERROR(XLOOKUP(B194,'30th Products'!B:B,'30th Products'!C:C),"")</x:f>
      </x:c>
      <x:c r="I194" s="52" t="str">
        <x:f>IFERROR(E194/H194-1,"")</x:f>
      </x:c>
      <x:c r="J194" s="50"/>
      <x:c r="K194" s="50" t="str">
        <x:f>IF(D194="","",D194*J194)</x:f>
      </x:c>
      <x:c r="L194" s="50" t="str">
        <x:f>IF(K194="","",K194-G194)</x:f>
      </x:c>
      <x:c r="M194" t="str">
        <x:f>IFERROR(XLOOKUP(B194,'30th Products'!B:B,'30th Products'!E:E),"")</x:f>
      </x:c>
      <x:c r="N194"/>
      <x:c r="O194" s="31"/>
    </x:row>
    <x:row r="195">
      <x:c r="A195" s="48"/>
      <x:c r="B195"/>
      <x:c r="C195"/>
      <x:c r="D195"/>
      <x:c r="E195" s="50"/>
      <x:c r="F195" s="50"/>
      <x:c r="G195" s="50" t="str">
        <x:f>IF(D195="","",D195*E195+F195)</x:f>
      </x:c>
      <x:c r="H195" s="50" t="str">
        <x:f>IFERROR(XLOOKUP(B195,'30th Products'!B:B,'30th Products'!C:C),"")</x:f>
      </x:c>
      <x:c r="I195" s="52" t="str">
        <x:f>IFERROR(E195/H195-1,"")</x:f>
      </x:c>
      <x:c r="J195" s="50"/>
      <x:c r="K195" s="50" t="str">
        <x:f>IF(D195="","",D195*J195)</x:f>
      </x:c>
      <x:c r="L195" s="50" t="str">
        <x:f>IF(K195="","",K195-G195)</x:f>
      </x:c>
      <x:c r="M195" t="str">
        <x:f>IFERROR(XLOOKUP(B195,'30th Products'!B:B,'30th Products'!E:E),"")</x:f>
      </x:c>
      <x:c r="N195"/>
      <x:c r="O195" s="31"/>
    </x:row>
    <x:row r="196">
      <x:c r="A196" s="48"/>
      <x:c r="B196"/>
      <x:c r="C196"/>
      <x:c r="D196"/>
      <x:c r="E196" s="50"/>
      <x:c r="F196" s="50"/>
      <x:c r="G196" s="50" t="str">
        <x:f>IF(D196="","",D196*E196+F196)</x:f>
      </x:c>
      <x:c r="H196" s="50" t="str">
        <x:f>IFERROR(XLOOKUP(B196,'30th Products'!B:B,'30th Products'!C:C),"")</x:f>
      </x:c>
      <x:c r="I196" s="52" t="str">
        <x:f>IFERROR(E196/H196-1,"")</x:f>
      </x:c>
      <x:c r="J196" s="50"/>
      <x:c r="K196" s="50" t="str">
        <x:f>IF(D196="","",D196*J196)</x:f>
      </x:c>
      <x:c r="L196" s="50" t="str">
        <x:f>IF(K196="","",K196-G196)</x:f>
      </x:c>
      <x:c r="M196" t="str">
        <x:f>IFERROR(XLOOKUP(B196,'30th Products'!B:B,'30th Products'!E:E),"")</x:f>
      </x:c>
      <x:c r="N196"/>
      <x:c r="O196" s="31"/>
    </x:row>
    <x:row r="197">
      <x:c r="A197" s="48"/>
      <x:c r="B197"/>
      <x:c r="C197"/>
      <x:c r="D197"/>
      <x:c r="E197" s="50"/>
      <x:c r="F197" s="50"/>
      <x:c r="G197" s="50" t="str">
        <x:f>IF(D197="","",D197*E197+F197)</x:f>
      </x:c>
      <x:c r="H197" s="50" t="str">
        <x:f>IFERROR(XLOOKUP(B197,'30th Products'!B:B,'30th Products'!C:C),"")</x:f>
      </x:c>
      <x:c r="I197" s="52" t="str">
        <x:f>IFERROR(E197/H197-1,"")</x:f>
      </x:c>
      <x:c r="J197" s="50"/>
      <x:c r="K197" s="50" t="str">
        <x:f>IF(D197="","",D197*J197)</x:f>
      </x:c>
      <x:c r="L197" s="50" t="str">
        <x:f>IF(K197="","",K197-G197)</x:f>
      </x:c>
      <x:c r="M197" t="str">
        <x:f>IFERROR(XLOOKUP(B197,'30th Products'!B:B,'30th Products'!E:E),"")</x:f>
      </x:c>
      <x:c r="N197"/>
      <x:c r="O197" s="31"/>
    </x:row>
    <x:row r="198">
      <x:c r="A198" s="48"/>
      <x:c r="B198"/>
      <x:c r="C198"/>
      <x:c r="D198"/>
      <x:c r="E198" s="50"/>
      <x:c r="F198" s="50"/>
      <x:c r="G198" s="50" t="str">
        <x:f>IF(D198="","",D198*E198+F198)</x:f>
      </x:c>
      <x:c r="H198" s="50" t="str">
        <x:f>IFERROR(XLOOKUP(B198,'30th Products'!B:B,'30th Products'!C:C),"")</x:f>
      </x:c>
      <x:c r="I198" s="52" t="str">
        <x:f>IFERROR(E198/H198-1,"")</x:f>
      </x:c>
      <x:c r="J198" s="50"/>
      <x:c r="K198" s="50" t="str">
        <x:f>IF(D198="","",D198*J198)</x:f>
      </x:c>
      <x:c r="L198" s="50" t="str">
        <x:f>IF(K198="","",K198-G198)</x:f>
      </x:c>
      <x:c r="M198" t="str">
        <x:f>IFERROR(XLOOKUP(B198,'30th Products'!B:B,'30th Products'!E:E),"")</x:f>
      </x:c>
      <x:c r="N198"/>
      <x:c r="O198" s="31"/>
    </x:row>
    <x:row r="199">
      <x:c r="A199" s="48"/>
      <x:c r="B199"/>
      <x:c r="C199"/>
      <x:c r="D199"/>
      <x:c r="E199" s="50"/>
      <x:c r="F199" s="50"/>
      <x:c r="G199" s="50" t="str">
        <x:f>IF(D199="","",D199*E199+F199)</x:f>
      </x:c>
      <x:c r="H199" s="50" t="str">
        <x:f>IFERROR(XLOOKUP(B199,'30th Products'!B:B,'30th Products'!C:C),"")</x:f>
      </x:c>
      <x:c r="I199" s="52" t="str">
        <x:f>IFERROR(E199/H199-1,"")</x:f>
      </x:c>
      <x:c r="J199" s="50"/>
      <x:c r="K199" s="50" t="str">
        <x:f>IF(D199="","",D199*J199)</x:f>
      </x:c>
      <x:c r="L199" s="50" t="str">
        <x:f>IF(K199="","",K199-G199)</x:f>
      </x:c>
      <x:c r="M199" t="str">
        <x:f>IFERROR(XLOOKUP(B199,'30th Products'!B:B,'30th Products'!E:E),"")</x:f>
      </x:c>
      <x:c r="N199"/>
      <x:c r="O199" s="31"/>
    </x:row>
    <x:row r="200">
      <x:c r="A200" s="48"/>
      <x:c r="B200"/>
      <x:c r="C200"/>
      <x:c r="D200"/>
      <x:c r="E200" s="50"/>
      <x:c r="F200" s="50"/>
      <x:c r="G200" s="50" t="str">
        <x:f>IF(D200="","",D200*E200+F200)</x:f>
      </x:c>
      <x:c r="H200" s="50" t="str">
        <x:f>IFERROR(XLOOKUP(B200,'30th Products'!B:B,'30th Products'!C:C),"")</x:f>
      </x:c>
      <x:c r="I200" s="52" t="str">
        <x:f>IFERROR(E200/H200-1,"")</x:f>
      </x:c>
      <x:c r="J200" s="50"/>
      <x:c r="K200" s="50" t="str">
        <x:f>IF(D200="","",D200*J200)</x:f>
      </x:c>
      <x:c r="L200" s="50" t="str">
        <x:f>IF(K200="","",K200-G200)</x:f>
      </x:c>
      <x:c r="M200" t="str">
        <x:f>IFERROR(XLOOKUP(B200,'30th Products'!B:B,'30th Products'!E:E),"")</x:f>
      </x:c>
      <x:c r="N200"/>
      <x:c r="O200" s="31"/>
    </x:row>
    <x:row r="201">
      <x:c r="A201" s="48"/>
      <x:c r="B201"/>
      <x:c r="C201"/>
      <x:c r="D201"/>
      <x:c r="E201" s="50"/>
      <x:c r="F201" s="50"/>
      <x:c r="G201" s="50" t="str">
        <x:f>IF(D201="","",D201*E201+F201)</x:f>
      </x:c>
      <x:c r="H201" s="50" t="str">
        <x:f>IFERROR(XLOOKUP(B201,'30th Products'!B:B,'30th Products'!C:C),"")</x:f>
      </x:c>
      <x:c r="I201" s="52" t="str">
        <x:f>IFERROR(E201/H201-1,"")</x:f>
      </x:c>
      <x:c r="J201" s="50"/>
      <x:c r="K201" s="50" t="str">
        <x:f>IF(D201="","",D201*J201)</x:f>
      </x:c>
      <x:c r="L201" s="50" t="str">
        <x:f>IF(K201="","",K201-G201)</x:f>
      </x:c>
      <x:c r="M201" t="str">
        <x:f>IFERROR(XLOOKUP(B201,'30th Products'!B:B,'30th Products'!E:E),"")</x:f>
      </x:c>
      <x:c r="N201"/>
      <x:c r="O201" s="31"/>
    </x:row>
    <x:row r="202">
      <x:c r="A202" s="48"/>
      <x:c r="B202"/>
      <x:c r="C202"/>
      <x:c r="D202"/>
      <x:c r="E202" s="50"/>
      <x:c r="F202" s="50"/>
      <x:c r="G202" s="50" t="str">
        <x:f>IF(D202="","",D202*E202+F202)</x:f>
      </x:c>
      <x:c r="H202" s="50" t="str">
        <x:f>IFERROR(XLOOKUP(B202,'30th Products'!B:B,'30th Products'!C:C),"")</x:f>
      </x:c>
      <x:c r="I202" s="52" t="str">
        <x:f>IFERROR(E202/H202-1,"")</x:f>
      </x:c>
      <x:c r="J202" s="50"/>
      <x:c r="K202" s="50" t="str">
        <x:f>IF(D202="","",D202*J202)</x:f>
      </x:c>
      <x:c r="L202" s="50" t="str">
        <x:f>IF(K202="","",K202-G202)</x:f>
      </x:c>
      <x:c r="M202" t="str">
        <x:f>IFERROR(XLOOKUP(B202,'30th Products'!B:B,'30th Products'!E:E),"")</x:f>
      </x:c>
      <x:c r="N202"/>
      <x:c r="O202" s="31"/>
    </x:row>
    <x:row r="203">
      <x:c r="A203" s="48"/>
      <x:c r="B203"/>
      <x:c r="C203"/>
      <x:c r="D203"/>
      <x:c r="E203" s="50"/>
      <x:c r="F203" s="50"/>
      <x:c r="G203" s="50" t="str">
        <x:f>IF(D203="","",D203*E203+F203)</x:f>
      </x:c>
      <x:c r="H203" s="50" t="str">
        <x:f>IFERROR(XLOOKUP(B203,'30th Products'!B:B,'30th Products'!C:C),"")</x:f>
      </x:c>
      <x:c r="I203" s="52" t="str">
        <x:f>IFERROR(E203/H203-1,"")</x:f>
      </x:c>
      <x:c r="J203" s="50"/>
      <x:c r="K203" s="50" t="str">
        <x:f>IF(D203="","",D203*J203)</x:f>
      </x:c>
      <x:c r="L203" s="50" t="str">
        <x:f>IF(K203="","",K203-G203)</x:f>
      </x:c>
      <x:c r="M203" t="str">
        <x:f>IFERROR(XLOOKUP(B203,'30th Products'!B:B,'30th Products'!E:E),"")</x:f>
      </x:c>
      <x:c r="N203"/>
      <x:c r="O203" s="31"/>
    </x:row>
    <x:row r="204">
      <x:c r="A204" s="48"/>
      <x:c r="B204"/>
      <x:c r="C204"/>
      <x:c r="D204"/>
      <x:c r="E204" s="50"/>
      <x:c r="F204" s="50"/>
      <x:c r="G204" s="50" t="str">
        <x:f>IF(D204="","",D204*E204+F204)</x:f>
      </x:c>
      <x:c r="H204" s="50" t="str">
        <x:f>IFERROR(XLOOKUP(B204,'30th Products'!B:B,'30th Products'!C:C),"")</x:f>
      </x:c>
      <x:c r="I204" s="52" t="str">
        <x:f>IFERROR(E204/H204-1,"")</x:f>
      </x:c>
      <x:c r="J204" s="50"/>
      <x:c r="K204" s="50" t="str">
        <x:f>IF(D204="","",D204*J204)</x:f>
      </x:c>
      <x:c r="L204" s="50" t="str">
        <x:f>IF(K204="","",K204-G204)</x:f>
      </x:c>
      <x:c r="M204" t="str">
        <x:f>IFERROR(XLOOKUP(B204,'30th Products'!B:B,'30th Products'!E:E),"")</x:f>
      </x:c>
      <x:c r="N204"/>
      <x:c r="O204" s="31"/>
    </x:row>
    <x:row r="205">
      <x:c r="A205" s="48"/>
      <x:c r="B205"/>
      <x:c r="C205"/>
      <x:c r="D205"/>
      <x:c r="E205" s="50"/>
      <x:c r="F205" s="50"/>
      <x:c r="G205" s="50" t="str">
        <x:f>IF(D205="","",D205*E205+F205)</x:f>
      </x:c>
      <x:c r="H205" s="50" t="str">
        <x:f>IFERROR(XLOOKUP(B205,'30th Products'!B:B,'30th Products'!C:C),"")</x:f>
      </x:c>
      <x:c r="I205" s="52" t="str">
        <x:f>IFERROR(E205/H205-1,"")</x:f>
      </x:c>
      <x:c r="J205" s="50"/>
      <x:c r="K205" s="50" t="str">
        <x:f>IF(D205="","",D205*J205)</x:f>
      </x:c>
      <x:c r="L205" s="50" t="str">
        <x:f>IF(K205="","",K205-G205)</x:f>
      </x:c>
      <x:c r="M205" t="str">
        <x:f>IFERROR(XLOOKUP(B205,'30th Products'!B:B,'30th Products'!E:E),"")</x:f>
      </x:c>
      <x:c r="N205"/>
      <x:c r="O205" s="31"/>
    </x:row>
    <x:row r="206">
      <x:c r="A206" s="48"/>
      <x:c r="B206"/>
      <x:c r="C206"/>
      <x:c r="D206"/>
      <x:c r="E206" s="50"/>
      <x:c r="F206" s="50"/>
      <x:c r="G206" s="50" t="str">
        <x:f>IF(D206="","",D206*E206+F206)</x:f>
      </x:c>
      <x:c r="H206" s="50" t="str">
        <x:f>IFERROR(XLOOKUP(B206,'30th Products'!B:B,'30th Products'!C:C),"")</x:f>
      </x:c>
      <x:c r="I206" s="52" t="str">
        <x:f>IFERROR(E206/H206-1,"")</x:f>
      </x:c>
      <x:c r="J206" s="50"/>
      <x:c r="K206" s="50" t="str">
        <x:f>IF(D206="","",D206*J206)</x:f>
      </x:c>
      <x:c r="L206" s="50" t="str">
        <x:f>IF(K206="","",K206-G206)</x:f>
      </x:c>
      <x:c r="M206" t="str">
        <x:f>IFERROR(XLOOKUP(B206,'30th Products'!B:B,'30th Products'!E:E),"")</x:f>
      </x:c>
      <x:c r="N206"/>
      <x:c r="O206" s="31"/>
    </x:row>
    <x:row r="207">
      <x:c r="A207" s="48"/>
      <x:c r="B207"/>
      <x:c r="C207"/>
      <x:c r="D207"/>
      <x:c r="E207" s="50"/>
      <x:c r="F207" s="50"/>
      <x:c r="G207" s="50" t="str">
        <x:f>IF(D207="","",D207*E207+F207)</x:f>
      </x:c>
      <x:c r="H207" s="50" t="str">
        <x:f>IFERROR(XLOOKUP(B207,'30th Products'!B:B,'30th Products'!C:C),"")</x:f>
      </x:c>
      <x:c r="I207" s="52" t="str">
        <x:f>IFERROR(E207/H207-1,"")</x:f>
      </x:c>
      <x:c r="J207" s="50"/>
      <x:c r="K207" s="50" t="str">
        <x:f>IF(D207="","",D207*J207)</x:f>
      </x:c>
      <x:c r="L207" s="50" t="str">
        <x:f>IF(K207="","",K207-G207)</x:f>
      </x:c>
      <x:c r="M207" t="str">
        <x:f>IFERROR(XLOOKUP(B207,'30th Products'!B:B,'30th Products'!E:E),"")</x:f>
      </x:c>
      <x:c r="N207"/>
      <x:c r="O207" s="31"/>
    </x:row>
    <x:row r="208">
      <x:c r="A208" s="48"/>
      <x:c r="B208"/>
      <x:c r="C208"/>
      <x:c r="D208"/>
      <x:c r="E208" s="50"/>
      <x:c r="F208" s="50"/>
      <x:c r="G208" s="50" t="str">
        <x:f>IF(D208="","",D208*E208+F208)</x:f>
      </x:c>
      <x:c r="H208" s="50" t="str">
        <x:f>IFERROR(XLOOKUP(B208,'30th Products'!B:B,'30th Products'!C:C),"")</x:f>
      </x:c>
      <x:c r="I208" s="52" t="str">
        <x:f>IFERROR(E208/H208-1,"")</x:f>
      </x:c>
      <x:c r="J208" s="50"/>
      <x:c r="K208" s="50" t="str">
        <x:f>IF(D208="","",D208*J208)</x:f>
      </x:c>
      <x:c r="L208" s="50" t="str">
        <x:f>IF(K208="","",K208-G208)</x:f>
      </x:c>
      <x:c r="M208" t="str">
        <x:f>IFERROR(XLOOKUP(B208,'30th Products'!B:B,'30th Products'!E:E),"")</x:f>
      </x:c>
      <x:c r="N208"/>
      <x:c r="O208" s="31"/>
    </x:row>
    <x:row r="209">
      <x:c r="A209" s="48"/>
      <x:c r="B209"/>
      <x:c r="C209"/>
      <x:c r="D209"/>
      <x:c r="E209" s="50"/>
      <x:c r="F209" s="50"/>
      <x:c r="G209" s="50" t="str">
        <x:f>IF(D209="","",D209*E209+F209)</x:f>
      </x:c>
      <x:c r="H209" s="50" t="str">
        <x:f>IFERROR(XLOOKUP(B209,'30th Products'!B:B,'30th Products'!C:C),"")</x:f>
      </x:c>
      <x:c r="I209" s="52" t="str">
        <x:f>IFERROR(E209/H209-1,"")</x:f>
      </x:c>
      <x:c r="J209" s="50"/>
      <x:c r="K209" s="50" t="str">
        <x:f>IF(D209="","",D209*J209)</x:f>
      </x:c>
      <x:c r="L209" s="50" t="str">
        <x:f>IF(K209="","",K209-G209)</x:f>
      </x:c>
      <x:c r="M209" t="str">
        <x:f>IFERROR(XLOOKUP(B209,'30th Products'!B:B,'30th Products'!E:E),"")</x:f>
      </x:c>
      <x:c r="N209"/>
      <x:c r="O209" s="31"/>
    </x:row>
    <x:row r="210">
      <x:c r="A210" s="48"/>
      <x:c r="B210"/>
      <x:c r="C210"/>
      <x:c r="D210"/>
      <x:c r="E210" s="50"/>
      <x:c r="F210" s="50"/>
      <x:c r="G210" s="50" t="str">
        <x:f>IF(D210="","",D210*E210+F210)</x:f>
      </x:c>
      <x:c r="H210" s="50" t="str">
        <x:f>IFERROR(XLOOKUP(B210,'30th Products'!B:B,'30th Products'!C:C),"")</x:f>
      </x:c>
      <x:c r="I210" s="52" t="str">
        <x:f>IFERROR(E210/H210-1,"")</x:f>
      </x:c>
      <x:c r="J210" s="50"/>
      <x:c r="K210" s="50" t="str">
        <x:f>IF(D210="","",D210*J210)</x:f>
      </x:c>
      <x:c r="L210" s="50" t="str">
        <x:f>IF(K210="","",K210-G210)</x:f>
      </x:c>
      <x:c r="M210" t="str">
        <x:f>IFERROR(XLOOKUP(B210,'30th Products'!B:B,'30th Products'!E:E),"")</x:f>
      </x:c>
      <x:c r="N210"/>
      <x:c r="O210" s="31"/>
    </x:row>
    <x:row r="211">
      <x:c r="A211" s="48"/>
      <x:c r="B211"/>
      <x:c r="C211"/>
      <x:c r="D211"/>
      <x:c r="E211" s="50"/>
      <x:c r="F211" s="50"/>
      <x:c r="G211" s="50" t="str">
        <x:f>IF(D211="","",D211*E211+F211)</x:f>
      </x:c>
      <x:c r="H211" s="50" t="str">
        <x:f>IFERROR(XLOOKUP(B211,'30th Products'!B:B,'30th Products'!C:C),"")</x:f>
      </x:c>
      <x:c r="I211" s="52" t="str">
        <x:f>IFERROR(E211/H211-1,"")</x:f>
      </x:c>
      <x:c r="J211" s="50"/>
      <x:c r="K211" s="50" t="str">
        <x:f>IF(D211="","",D211*J211)</x:f>
      </x:c>
      <x:c r="L211" s="50" t="str">
        <x:f>IF(K211="","",K211-G211)</x:f>
      </x:c>
      <x:c r="M211" t="str">
        <x:f>IFERROR(XLOOKUP(B211,'30th Products'!B:B,'30th Products'!E:E),"")</x:f>
      </x:c>
      <x:c r="N211"/>
      <x:c r="O211" s="31"/>
    </x:row>
    <x:row r="212">
      <x:c r="A212" s="48"/>
      <x:c r="B212"/>
      <x:c r="C212"/>
      <x:c r="D212"/>
      <x:c r="E212" s="50"/>
      <x:c r="F212" s="50"/>
      <x:c r="G212" s="50" t="str">
        <x:f>IF(D212="","",D212*E212+F212)</x:f>
      </x:c>
      <x:c r="H212" s="50" t="str">
        <x:f>IFERROR(XLOOKUP(B212,'30th Products'!B:B,'30th Products'!C:C),"")</x:f>
      </x:c>
      <x:c r="I212" s="52" t="str">
        <x:f>IFERROR(E212/H212-1,"")</x:f>
      </x:c>
      <x:c r="J212" s="50"/>
      <x:c r="K212" s="50" t="str">
        <x:f>IF(D212="","",D212*J212)</x:f>
      </x:c>
      <x:c r="L212" s="50" t="str">
        <x:f>IF(K212="","",K212-G212)</x:f>
      </x:c>
      <x:c r="M212" t="str">
        <x:f>IFERROR(XLOOKUP(B212,'30th Products'!B:B,'30th Products'!E:E),"")</x:f>
      </x:c>
      <x:c r="N212"/>
      <x:c r="O212" s="31"/>
    </x:row>
    <x:row r="213">
      <x:c r="A213" s="48"/>
      <x:c r="B213"/>
      <x:c r="C213"/>
      <x:c r="D213"/>
      <x:c r="E213" s="50"/>
      <x:c r="F213" s="50"/>
      <x:c r="G213" s="50" t="str">
        <x:f>IF(D213="","",D213*E213+F213)</x:f>
      </x:c>
      <x:c r="H213" s="50" t="str">
        <x:f>IFERROR(XLOOKUP(B213,'30th Products'!B:B,'30th Products'!C:C),"")</x:f>
      </x:c>
      <x:c r="I213" s="52" t="str">
        <x:f>IFERROR(E213/H213-1,"")</x:f>
      </x:c>
      <x:c r="J213" s="50"/>
      <x:c r="K213" s="50" t="str">
        <x:f>IF(D213="","",D213*J213)</x:f>
      </x:c>
      <x:c r="L213" s="50" t="str">
        <x:f>IF(K213="","",K213-G213)</x:f>
      </x:c>
      <x:c r="M213" t="str">
        <x:f>IFERROR(XLOOKUP(B213,'30th Products'!B:B,'30th Products'!E:E),"")</x:f>
      </x:c>
      <x:c r="N213"/>
      <x:c r="O213" s="31"/>
    </x:row>
    <x:row r="214">
      <x:c r="A214" s="48"/>
      <x:c r="B214"/>
      <x:c r="C214"/>
      <x:c r="D214"/>
      <x:c r="E214" s="50"/>
      <x:c r="F214" s="50"/>
      <x:c r="G214" s="50" t="str">
        <x:f>IF(D214="","",D214*E214+F214)</x:f>
      </x:c>
      <x:c r="H214" s="50" t="str">
        <x:f>IFERROR(XLOOKUP(B214,'30th Products'!B:B,'30th Products'!C:C),"")</x:f>
      </x:c>
      <x:c r="I214" s="52" t="str">
        <x:f>IFERROR(E214/H214-1,"")</x:f>
      </x:c>
      <x:c r="J214" s="50"/>
      <x:c r="K214" s="50" t="str">
        <x:f>IF(D214="","",D214*J214)</x:f>
      </x:c>
      <x:c r="L214" s="50" t="str">
        <x:f>IF(K214="","",K214-G214)</x:f>
      </x:c>
      <x:c r="M214" t="str">
        <x:f>IFERROR(XLOOKUP(B214,'30th Products'!B:B,'30th Products'!E:E),"")</x:f>
      </x:c>
      <x:c r="N214"/>
      <x:c r="O214" s="31"/>
    </x:row>
    <x:row r="215">
      <x:c r="A215" s="48"/>
      <x:c r="B215"/>
      <x:c r="C215"/>
      <x:c r="D215"/>
      <x:c r="E215" s="50"/>
      <x:c r="F215" s="50"/>
      <x:c r="G215" s="50" t="str">
        <x:f>IF(D215="","",D215*E215+F215)</x:f>
      </x:c>
      <x:c r="H215" s="50" t="str">
        <x:f>IFERROR(XLOOKUP(B215,'30th Products'!B:B,'30th Products'!C:C),"")</x:f>
      </x:c>
      <x:c r="I215" s="52" t="str">
        <x:f>IFERROR(E215/H215-1,"")</x:f>
      </x:c>
      <x:c r="J215" s="50"/>
      <x:c r="K215" s="50" t="str">
        <x:f>IF(D215="","",D215*J215)</x:f>
      </x:c>
      <x:c r="L215" s="50" t="str">
        <x:f>IF(K215="","",K215-G215)</x:f>
      </x:c>
      <x:c r="M215" t="str">
        <x:f>IFERROR(XLOOKUP(B215,'30th Products'!B:B,'30th Products'!E:E),"")</x:f>
      </x:c>
      <x:c r="N215"/>
      <x:c r="O215" s="31"/>
    </x:row>
    <x:row r="216">
      <x:c r="A216" s="48"/>
      <x:c r="B216"/>
      <x:c r="C216"/>
      <x:c r="D216"/>
      <x:c r="E216" s="50"/>
      <x:c r="F216" s="50"/>
      <x:c r="G216" s="50" t="str">
        <x:f>IF(D216="","",D216*E216+F216)</x:f>
      </x:c>
      <x:c r="H216" s="50" t="str">
        <x:f>IFERROR(XLOOKUP(B216,'30th Products'!B:B,'30th Products'!C:C),"")</x:f>
      </x:c>
      <x:c r="I216" s="52" t="str">
        <x:f>IFERROR(E216/H216-1,"")</x:f>
      </x:c>
      <x:c r="J216" s="50"/>
      <x:c r="K216" s="50" t="str">
        <x:f>IF(D216="","",D216*J216)</x:f>
      </x:c>
      <x:c r="L216" s="50" t="str">
        <x:f>IF(K216="","",K216-G216)</x:f>
      </x:c>
      <x:c r="M216" t="str">
        <x:f>IFERROR(XLOOKUP(B216,'30th Products'!B:B,'30th Products'!E:E),"")</x:f>
      </x:c>
      <x:c r="N216"/>
      <x:c r="O216" s="31"/>
    </x:row>
    <x:row r="217">
      <x:c r="A217" s="48"/>
      <x:c r="B217"/>
      <x:c r="C217"/>
      <x:c r="D217"/>
      <x:c r="E217" s="50"/>
      <x:c r="F217" s="50"/>
      <x:c r="G217" s="50" t="str">
        <x:f>IF(D217="","",D217*E217+F217)</x:f>
      </x:c>
      <x:c r="H217" s="50" t="str">
        <x:f>IFERROR(XLOOKUP(B217,'30th Products'!B:B,'30th Products'!C:C),"")</x:f>
      </x:c>
      <x:c r="I217" s="52" t="str">
        <x:f>IFERROR(E217/H217-1,"")</x:f>
      </x:c>
      <x:c r="J217" s="50"/>
      <x:c r="K217" s="50" t="str">
        <x:f>IF(D217="","",D217*J217)</x:f>
      </x:c>
      <x:c r="L217" s="50" t="str">
        <x:f>IF(K217="","",K217-G217)</x:f>
      </x:c>
      <x:c r="M217" t="str">
        <x:f>IFERROR(XLOOKUP(B217,'30th Products'!B:B,'30th Products'!E:E),"")</x:f>
      </x:c>
      <x:c r="N217"/>
      <x:c r="O217" s="31"/>
    </x:row>
    <x:row r="218">
      <x:c r="A218" s="48"/>
      <x:c r="B218"/>
      <x:c r="C218"/>
      <x:c r="D218"/>
      <x:c r="E218" s="50"/>
      <x:c r="F218" s="50"/>
      <x:c r="G218" s="50" t="str">
        <x:f>IF(D218="","",D218*E218+F218)</x:f>
      </x:c>
      <x:c r="H218" s="50" t="str">
        <x:f>IFERROR(XLOOKUP(B218,'30th Products'!B:B,'30th Products'!C:C),"")</x:f>
      </x:c>
      <x:c r="I218" s="52" t="str">
        <x:f>IFERROR(E218/H218-1,"")</x:f>
      </x:c>
      <x:c r="J218" s="50"/>
      <x:c r="K218" s="50" t="str">
        <x:f>IF(D218="","",D218*J218)</x:f>
      </x:c>
      <x:c r="L218" s="50" t="str">
        <x:f>IF(K218="","",K218-G218)</x:f>
      </x:c>
      <x:c r="M218" t="str">
        <x:f>IFERROR(XLOOKUP(B218,'30th Products'!B:B,'30th Products'!E:E),"")</x:f>
      </x:c>
      <x:c r="N218"/>
      <x:c r="O218" s="31"/>
    </x:row>
    <x:row r="219">
      <x:c r="A219" s="48"/>
      <x:c r="B219"/>
      <x:c r="C219"/>
      <x:c r="D219"/>
      <x:c r="E219" s="50"/>
      <x:c r="F219" s="50"/>
      <x:c r="G219" s="50" t="str">
        <x:f>IF(D219="","",D219*E219+F219)</x:f>
      </x:c>
      <x:c r="H219" s="50" t="str">
        <x:f>IFERROR(XLOOKUP(B219,'30th Products'!B:B,'30th Products'!C:C),"")</x:f>
      </x:c>
      <x:c r="I219" s="52" t="str">
        <x:f>IFERROR(E219/H219-1,"")</x:f>
      </x:c>
      <x:c r="J219" s="50"/>
      <x:c r="K219" s="50" t="str">
        <x:f>IF(D219="","",D219*J219)</x:f>
      </x:c>
      <x:c r="L219" s="50" t="str">
        <x:f>IF(K219="","",K219-G219)</x:f>
      </x:c>
      <x:c r="M219" t="str">
        <x:f>IFERROR(XLOOKUP(B219,'30th Products'!B:B,'30th Products'!E:E),"")</x:f>
      </x:c>
      <x:c r="N219"/>
      <x:c r="O219" s="31"/>
    </x:row>
    <x:row r="220">
      <x:c r="A220" s="48"/>
      <x:c r="B220"/>
      <x:c r="C220"/>
      <x:c r="D220"/>
      <x:c r="E220" s="50"/>
      <x:c r="F220" s="50"/>
      <x:c r="G220" s="50" t="str">
        <x:f>IF(D220="","",D220*E220+F220)</x:f>
      </x:c>
      <x:c r="H220" s="50" t="str">
        <x:f>IFERROR(XLOOKUP(B220,'30th Products'!B:B,'30th Products'!C:C),"")</x:f>
      </x:c>
      <x:c r="I220" s="52" t="str">
        <x:f>IFERROR(E220/H220-1,"")</x:f>
      </x:c>
      <x:c r="J220" s="50"/>
      <x:c r="K220" s="50" t="str">
        <x:f>IF(D220="","",D220*J220)</x:f>
      </x:c>
      <x:c r="L220" s="50" t="str">
        <x:f>IF(K220="","",K220-G220)</x:f>
      </x:c>
      <x:c r="M220" t="str">
        <x:f>IFERROR(XLOOKUP(B220,'30th Products'!B:B,'30th Products'!E:E),"")</x:f>
      </x:c>
      <x:c r="N220"/>
      <x:c r="O220" s="31"/>
    </x:row>
    <x:row r="221">
      <x:c r="A221" s="48"/>
      <x:c r="B221"/>
      <x:c r="C221"/>
      <x:c r="D221"/>
      <x:c r="E221" s="50"/>
      <x:c r="F221" s="50"/>
      <x:c r="G221" s="50" t="str">
        <x:f>IF(D221="","",D221*E221+F221)</x:f>
      </x:c>
      <x:c r="H221" s="50" t="str">
        <x:f>IFERROR(XLOOKUP(B221,'30th Products'!B:B,'30th Products'!C:C),"")</x:f>
      </x:c>
      <x:c r="I221" s="52" t="str">
        <x:f>IFERROR(E221/H221-1,"")</x:f>
      </x:c>
      <x:c r="J221" s="50"/>
      <x:c r="K221" s="50" t="str">
        <x:f>IF(D221="","",D221*J221)</x:f>
      </x:c>
      <x:c r="L221" s="50" t="str">
        <x:f>IF(K221="","",K221-G221)</x:f>
      </x:c>
      <x:c r="M221" t="str">
        <x:f>IFERROR(XLOOKUP(B221,'30th Products'!B:B,'30th Products'!E:E),"")</x:f>
      </x:c>
      <x:c r="N221"/>
      <x:c r="O221" s="31"/>
    </x:row>
    <x:row r="222">
      <x:c r="A222" s="48"/>
      <x:c r="B222"/>
      <x:c r="C222"/>
      <x:c r="D222"/>
      <x:c r="E222" s="50"/>
      <x:c r="F222" s="50"/>
      <x:c r="G222" s="50" t="str">
        <x:f>IF(D222="","",D222*E222+F222)</x:f>
      </x:c>
      <x:c r="H222" s="50" t="str">
        <x:f>IFERROR(XLOOKUP(B222,'30th Products'!B:B,'30th Products'!C:C),"")</x:f>
      </x:c>
      <x:c r="I222" s="52" t="str">
        <x:f>IFERROR(E222/H222-1,"")</x:f>
      </x:c>
      <x:c r="J222" s="50"/>
      <x:c r="K222" s="50" t="str">
        <x:f>IF(D222="","",D222*J222)</x:f>
      </x:c>
      <x:c r="L222" s="50" t="str">
        <x:f>IF(K222="","",K222-G222)</x:f>
      </x:c>
      <x:c r="M222" t="str">
        <x:f>IFERROR(XLOOKUP(B222,'30th Products'!B:B,'30th Products'!E:E),"")</x:f>
      </x:c>
      <x:c r="N222"/>
      <x:c r="O222" s="31"/>
    </x:row>
    <x:row r="223">
      <x:c r="A223" s="48"/>
      <x:c r="B223"/>
      <x:c r="C223"/>
      <x:c r="D223"/>
      <x:c r="E223" s="50"/>
      <x:c r="F223" s="50"/>
      <x:c r="G223" s="50" t="str">
        <x:f>IF(D223="","",D223*E223+F223)</x:f>
      </x:c>
      <x:c r="H223" s="50" t="str">
        <x:f>IFERROR(XLOOKUP(B223,'30th Products'!B:B,'30th Products'!C:C),"")</x:f>
      </x:c>
      <x:c r="I223" s="52" t="str">
        <x:f>IFERROR(E223/H223-1,"")</x:f>
      </x:c>
      <x:c r="J223" s="50"/>
      <x:c r="K223" s="50" t="str">
        <x:f>IF(D223="","",D223*J223)</x:f>
      </x:c>
      <x:c r="L223" s="50" t="str">
        <x:f>IF(K223="","",K223-G223)</x:f>
      </x:c>
      <x:c r="M223" t="str">
        <x:f>IFERROR(XLOOKUP(B223,'30th Products'!B:B,'30th Products'!E:E),"")</x:f>
      </x:c>
      <x:c r="N223"/>
      <x:c r="O223" s="31"/>
    </x:row>
    <x:row r="224">
      <x:c r="A224" s="48"/>
      <x:c r="B224"/>
      <x:c r="C224"/>
      <x:c r="D224"/>
      <x:c r="E224" s="50"/>
      <x:c r="F224" s="50"/>
      <x:c r="G224" s="50" t="str">
        <x:f>IF(D224="","",D224*E224+F224)</x:f>
      </x:c>
      <x:c r="H224" s="50" t="str">
        <x:f>IFERROR(XLOOKUP(B224,'30th Products'!B:B,'30th Products'!C:C),"")</x:f>
      </x:c>
      <x:c r="I224" s="52" t="str">
        <x:f>IFERROR(E224/H224-1,"")</x:f>
      </x:c>
      <x:c r="J224" s="50"/>
      <x:c r="K224" s="50" t="str">
        <x:f>IF(D224="","",D224*J224)</x:f>
      </x:c>
      <x:c r="L224" s="50" t="str">
        <x:f>IF(K224="","",K224-G224)</x:f>
      </x:c>
      <x:c r="M224" t="str">
        <x:f>IFERROR(XLOOKUP(B224,'30th Products'!B:B,'30th Products'!E:E),"")</x:f>
      </x:c>
      <x:c r="N224"/>
      <x:c r="O224" s="31"/>
    </x:row>
    <x:row r="225">
      <x:c r="A225" s="48"/>
      <x:c r="B225"/>
      <x:c r="C225"/>
      <x:c r="D225"/>
      <x:c r="E225" s="50"/>
      <x:c r="F225" s="50"/>
      <x:c r="G225" s="50" t="str">
        <x:f>IF(D225="","",D225*E225+F225)</x:f>
      </x:c>
      <x:c r="H225" s="50" t="str">
        <x:f>IFERROR(XLOOKUP(B225,'30th Products'!B:B,'30th Products'!C:C),"")</x:f>
      </x:c>
      <x:c r="I225" s="52" t="str">
        <x:f>IFERROR(E225/H225-1,"")</x:f>
      </x:c>
      <x:c r="J225" s="50"/>
      <x:c r="K225" s="50" t="str">
        <x:f>IF(D225="","",D225*J225)</x:f>
      </x:c>
      <x:c r="L225" s="50" t="str">
        <x:f>IF(K225="","",K225-G225)</x:f>
      </x:c>
      <x:c r="M225" t="str">
        <x:f>IFERROR(XLOOKUP(B225,'30th Products'!B:B,'30th Products'!E:E),"")</x:f>
      </x:c>
      <x:c r="N225"/>
      <x:c r="O225" s="31"/>
    </x:row>
    <x:row r="226">
      <x:c r="A226" s="48"/>
      <x:c r="B226"/>
      <x:c r="C226"/>
      <x:c r="D226"/>
      <x:c r="E226" s="50"/>
      <x:c r="F226" s="50"/>
      <x:c r="G226" s="50" t="str">
        <x:f>IF(D226="","",D226*E226+F226)</x:f>
      </x:c>
      <x:c r="H226" s="50" t="str">
        <x:f>IFERROR(XLOOKUP(B226,'30th Products'!B:B,'30th Products'!C:C),"")</x:f>
      </x:c>
      <x:c r="I226" s="52" t="str">
        <x:f>IFERROR(E226/H226-1,"")</x:f>
      </x:c>
      <x:c r="J226" s="50"/>
      <x:c r="K226" s="50" t="str">
        <x:f>IF(D226="","",D226*J226)</x:f>
      </x:c>
      <x:c r="L226" s="50" t="str">
        <x:f>IF(K226="","",K226-G226)</x:f>
      </x:c>
      <x:c r="M226" t="str">
        <x:f>IFERROR(XLOOKUP(B226,'30th Products'!B:B,'30th Products'!E:E),"")</x:f>
      </x:c>
      <x:c r="N226"/>
      <x:c r="O226" s="31"/>
    </x:row>
    <x:row r="227">
      <x:c r="A227" s="48"/>
      <x:c r="B227"/>
      <x:c r="C227"/>
      <x:c r="D227"/>
      <x:c r="E227" s="50"/>
      <x:c r="F227" s="50"/>
      <x:c r="G227" s="50" t="str">
        <x:f>IF(D227="","",D227*E227+F227)</x:f>
      </x:c>
      <x:c r="H227" s="50" t="str">
        <x:f>IFERROR(XLOOKUP(B227,'30th Products'!B:B,'30th Products'!C:C),"")</x:f>
      </x:c>
      <x:c r="I227" s="52" t="str">
        <x:f>IFERROR(E227/H227-1,"")</x:f>
      </x:c>
      <x:c r="J227" s="50"/>
      <x:c r="K227" s="50" t="str">
        <x:f>IF(D227="","",D227*J227)</x:f>
      </x:c>
      <x:c r="L227" s="50" t="str">
        <x:f>IF(K227="","",K227-G227)</x:f>
      </x:c>
      <x:c r="M227" t="str">
        <x:f>IFERROR(XLOOKUP(B227,'30th Products'!B:B,'30th Products'!E:E),"")</x:f>
      </x:c>
      <x:c r="N227"/>
      <x:c r="O227" s="31"/>
    </x:row>
    <x:row r="228">
      <x:c r="A228" s="48"/>
      <x:c r="B228"/>
      <x:c r="C228"/>
      <x:c r="D228"/>
      <x:c r="E228" s="50"/>
      <x:c r="F228" s="50"/>
      <x:c r="G228" s="50" t="str">
        <x:f>IF(D228="","",D228*E228+F228)</x:f>
      </x:c>
      <x:c r="H228" s="50" t="str">
        <x:f>IFERROR(XLOOKUP(B228,'30th Products'!B:B,'30th Products'!C:C),"")</x:f>
      </x:c>
      <x:c r="I228" s="52" t="str">
        <x:f>IFERROR(E228/H228-1,"")</x:f>
      </x:c>
      <x:c r="J228" s="50"/>
      <x:c r="K228" s="50" t="str">
        <x:f>IF(D228="","",D228*J228)</x:f>
      </x:c>
      <x:c r="L228" s="50" t="str">
        <x:f>IF(K228="","",K228-G228)</x:f>
      </x:c>
      <x:c r="M228" t="str">
        <x:f>IFERROR(XLOOKUP(B228,'30th Products'!B:B,'30th Products'!E:E),"")</x:f>
      </x:c>
      <x:c r="N228"/>
      <x:c r="O228" s="31"/>
    </x:row>
    <x:row r="229">
      <x:c r="A229" s="48"/>
      <x:c r="B229"/>
      <x:c r="C229"/>
      <x:c r="D229"/>
      <x:c r="E229" s="50"/>
      <x:c r="F229" s="50"/>
      <x:c r="G229" s="50" t="str">
        <x:f>IF(D229="","",D229*E229+F229)</x:f>
      </x:c>
      <x:c r="H229" s="50" t="str">
        <x:f>IFERROR(XLOOKUP(B229,'30th Products'!B:B,'30th Products'!C:C),"")</x:f>
      </x:c>
      <x:c r="I229" s="52" t="str">
        <x:f>IFERROR(E229/H229-1,"")</x:f>
      </x:c>
      <x:c r="J229" s="50"/>
      <x:c r="K229" s="50" t="str">
        <x:f>IF(D229="","",D229*J229)</x:f>
      </x:c>
      <x:c r="L229" s="50" t="str">
        <x:f>IF(K229="","",K229-G229)</x:f>
      </x:c>
      <x:c r="M229" t="str">
        <x:f>IFERROR(XLOOKUP(B229,'30th Products'!B:B,'30th Products'!E:E),"")</x:f>
      </x:c>
      <x:c r="N229"/>
      <x:c r="O229" s="31"/>
    </x:row>
    <x:row r="230">
      <x:c r="A230" s="48"/>
      <x:c r="B230"/>
      <x:c r="C230"/>
      <x:c r="D230"/>
      <x:c r="E230" s="50"/>
      <x:c r="F230" s="50"/>
      <x:c r="G230" s="50" t="str">
        <x:f>IF(D230="","",D230*E230+F230)</x:f>
      </x:c>
      <x:c r="H230" s="50" t="str">
        <x:f>IFERROR(XLOOKUP(B230,'30th Products'!B:B,'30th Products'!C:C),"")</x:f>
      </x:c>
      <x:c r="I230" s="52" t="str">
        <x:f>IFERROR(E230/H230-1,"")</x:f>
      </x:c>
      <x:c r="J230" s="50"/>
      <x:c r="K230" s="50" t="str">
        <x:f>IF(D230="","",D230*J230)</x:f>
      </x:c>
      <x:c r="L230" s="50" t="str">
        <x:f>IF(K230="","",K230-G230)</x:f>
      </x:c>
      <x:c r="M230" t="str">
        <x:f>IFERROR(XLOOKUP(B230,'30th Products'!B:B,'30th Products'!E:E),"")</x:f>
      </x:c>
      <x:c r="N230"/>
      <x:c r="O230" s="31"/>
    </x:row>
    <x:row r="231">
      <x:c r="A231" s="48"/>
      <x:c r="B231"/>
      <x:c r="C231"/>
      <x:c r="D231"/>
      <x:c r="E231" s="50"/>
      <x:c r="F231" s="50"/>
      <x:c r="G231" s="50" t="str">
        <x:f>IF(D231="","",D231*E231+F231)</x:f>
      </x:c>
      <x:c r="H231" s="50" t="str">
        <x:f>IFERROR(XLOOKUP(B231,'30th Products'!B:B,'30th Products'!C:C),"")</x:f>
      </x:c>
      <x:c r="I231" s="52" t="str">
        <x:f>IFERROR(E231/H231-1,"")</x:f>
      </x:c>
      <x:c r="J231" s="50"/>
      <x:c r="K231" s="50" t="str">
        <x:f>IF(D231="","",D231*J231)</x:f>
      </x:c>
      <x:c r="L231" s="50" t="str">
        <x:f>IF(K231="","",K231-G231)</x:f>
      </x:c>
      <x:c r="M231" t="str">
        <x:f>IFERROR(XLOOKUP(B231,'30th Products'!B:B,'30th Products'!E:E),"")</x:f>
      </x:c>
      <x:c r="N231"/>
      <x:c r="O231" s="31"/>
    </x:row>
    <x:row r="232">
      <x:c r="A232" s="48"/>
      <x:c r="B232"/>
      <x:c r="C232"/>
      <x:c r="D232"/>
      <x:c r="E232" s="50"/>
      <x:c r="F232" s="50"/>
      <x:c r="G232" s="50" t="str">
        <x:f>IF(D232="","",D232*E232+F232)</x:f>
      </x:c>
      <x:c r="H232" s="50" t="str">
        <x:f>IFERROR(XLOOKUP(B232,'30th Products'!B:B,'30th Products'!C:C),"")</x:f>
      </x:c>
      <x:c r="I232" s="52" t="str">
        <x:f>IFERROR(E232/H232-1,"")</x:f>
      </x:c>
      <x:c r="J232" s="50"/>
      <x:c r="K232" s="50" t="str">
        <x:f>IF(D232="","",D232*J232)</x:f>
      </x:c>
      <x:c r="L232" s="50" t="str">
        <x:f>IF(K232="","",K232-G232)</x:f>
      </x:c>
      <x:c r="M232" t="str">
        <x:f>IFERROR(XLOOKUP(B232,'30th Products'!B:B,'30th Products'!E:E),"")</x:f>
      </x:c>
      <x:c r="N232"/>
      <x:c r="O232" s="31"/>
    </x:row>
    <x:row r="233">
      <x:c r="A233" s="48"/>
      <x:c r="B233"/>
      <x:c r="C233"/>
      <x:c r="D233"/>
      <x:c r="E233" s="50"/>
      <x:c r="F233" s="50"/>
      <x:c r="G233" s="50" t="str">
        <x:f>IF(D233="","",D233*E233+F233)</x:f>
      </x:c>
      <x:c r="H233" s="50" t="str">
        <x:f>IFERROR(XLOOKUP(B233,'30th Products'!B:B,'30th Products'!C:C),"")</x:f>
      </x:c>
      <x:c r="I233" s="52" t="str">
        <x:f>IFERROR(E233/H233-1,"")</x:f>
      </x:c>
      <x:c r="J233" s="50"/>
      <x:c r="K233" s="50" t="str">
        <x:f>IF(D233="","",D233*J233)</x:f>
      </x:c>
      <x:c r="L233" s="50" t="str">
        <x:f>IF(K233="","",K233-G233)</x:f>
      </x:c>
      <x:c r="M233" t="str">
        <x:f>IFERROR(XLOOKUP(B233,'30th Products'!B:B,'30th Products'!E:E),"")</x:f>
      </x:c>
      <x:c r="N233"/>
      <x:c r="O233" s="31"/>
    </x:row>
    <x:row r="234">
      <x:c r="A234" s="48"/>
      <x:c r="B234"/>
      <x:c r="C234"/>
      <x:c r="D234"/>
      <x:c r="E234" s="50"/>
      <x:c r="F234" s="50"/>
      <x:c r="G234" s="50" t="str">
        <x:f>IF(D234="","",D234*E234+F234)</x:f>
      </x:c>
      <x:c r="H234" s="50" t="str">
        <x:f>IFERROR(XLOOKUP(B234,'30th Products'!B:B,'30th Products'!C:C),"")</x:f>
      </x:c>
      <x:c r="I234" s="52" t="str">
        <x:f>IFERROR(E234/H234-1,"")</x:f>
      </x:c>
      <x:c r="J234" s="50"/>
      <x:c r="K234" s="50" t="str">
        <x:f>IF(D234="","",D234*J234)</x:f>
      </x:c>
      <x:c r="L234" s="50" t="str">
        <x:f>IF(K234="","",K234-G234)</x:f>
      </x:c>
      <x:c r="M234" t="str">
        <x:f>IFERROR(XLOOKUP(B234,'30th Products'!B:B,'30th Products'!E:E),"")</x:f>
      </x:c>
      <x:c r="N234"/>
      <x:c r="O234" s="31"/>
    </x:row>
    <x:row r="235">
      <x:c r="A235" s="48"/>
      <x:c r="B235"/>
      <x:c r="C235"/>
      <x:c r="D235"/>
      <x:c r="E235" s="50"/>
      <x:c r="F235" s="50"/>
      <x:c r="G235" s="50" t="str">
        <x:f>IF(D235="","",D235*E235+F235)</x:f>
      </x:c>
      <x:c r="H235" s="50" t="str">
        <x:f>IFERROR(XLOOKUP(B235,'30th Products'!B:B,'30th Products'!C:C),"")</x:f>
      </x:c>
      <x:c r="I235" s="52" t="str">
        <x:f>IFERROR(E235/H235-1,"")</x:f>
      </x:c>
      <x:c r="J235" s="50"/>
      <x:c r="K235" s="50" t="str">
        <x:f>IF(D235="","",D235*J235)</x:f>
      </x:c>
      <x:c r="L235" s="50" t="str">
        <x:f>IF(K235="","",K235-G235)</x:f>
      </x:c>
      <x:c r="M235" t="str">
        <x:f>IFERROR(XLOOKUP(B235,'30th Products'!B:B,'30th Products'!E:E),"")</x:f>
      </x:c>
      <x:c r="N235"/>
      <x:c r="O235" s="31"/>
    </x:row>
    <x:row r="236">
      <x:c r="A236" s="48"/>
      <x:c r="B236"/>
      <x:c r="C236"/>
      <x:c r="D236"/>
      <x:c r="E236" s="50"/>
      <x:c r="F236" s="50"/>
      <x:c r="G236" s="50" t="str">
        <x:f>IF(D236="","",D236*E236+F236)</x:f>
      </x:c>
      <x:c r="H236" s="50" t="str">
        <x:f>IFERROR(XLOOKUP(B236,'30th Products'!B:B,'30th Products'!C:C),"")</x:f>
      </x:c>
      <x:c r="I236" s="52" t="str">
        <x:f>IFERROR(E236/H236-1,"")</x:f>
      </x:c>
      <x:c r="J236" s="50"/>
      <x:c r="K236" s="50" t="str">
        <x:f>IF(D236="","",D236*J236)</x:f>
      </x:c>
      <x:c r="L236" s="50" t="str">
        <x:f>IF(K236="","",K236-G236)</x:f>
      </x:c>
      <x:c r="M236" t="str">
        <x:f>IFERROR(XLOOKUP(B236,'30th Products'!B:B,'30th Products'!E:E),"")</x:f>
      </x:c>
      <x:c r="N236"/>
      <x:c r="O236" s="31"/>
    </x:row>
    <x:row r="237">
      <x:c r="A237" s="48"/>
      <x:c r="B237"/>
      <x:c r="C237"/>
      <x:c r="D237"/>
      <x:c r="E237" s="50"/>
      <x:c r="F237" s="50"/>
      <x:c r="G237" s="50" t="str">
        <x:f>IF(D237="","",D237*E237+F237)</x:f>
      </x:c>
      <x:c r="H237" s="50" t="str">
        <x:f>IFERROR(XLOOKUP(B237,'30th Products'!B:B,'30th Products'!C:C),"")</x:f>
      </x:c>
      <x:c r="I237" s="52" t="str">
        <x:f>IFERROR(E237/H237-1,"")</x:f>
      </x:c>
      <x:c r="J237" s="50"/>
      <x:c r="K237" s="50" t="str">
        <x:f>IF(D237="","",D237*J237)</x:f>
      </x:c>
      <x:c r="L237" s="50" t="str">
        <x:f>IF(K237="","",K237-G237)</x:f>
      </x:c>
      <x:c r="M237" t="str">
        <x:f>IFERROR(XLOOKUP(B237,'30th Products'!B:B,'30th Products'!E:E),"")</x:f>
      </x:c>
      <x:c r="N237"/>
      <x:c r="O237" s="31"/>
    </x:row>
    <x:row r="238">
      <x:c r="A238" s="48"/>
      <x:c r="B238"/>
      <x:c r="C238"/>
      <x:c r="D238"/>
      <x:c r="E238" s="50"/>
      <x:c r="F238" s="50"/>
      <x:c r="G238" s="50" t="str">
        <x:f>IF(D238="","",D238*E238+F238)</x:f>
      </x:c>
      <x:c r="H238" s="50" t="str">
        <x:f>IFERROR(XLOOKUP(B238,'30th Products'!B:B,'30th Products'!C:C),"")</x:f>
      </x:c>
      <x:c r="I238" s="52" t="str">
        <x:f>IFERROR(E238/H238-1,"")</x:f>
      </x:c>
      <x:c r="J238" s="50"/>
      <x:c r="K238" s="50" t="str">
        <x:f>IF(D238="","",D238*J238)</x:f>
      </x:c>
      <x:c r="L238" s="50" t="str">
        <x:f>IF(K238="","",K238-G238)</x:f>
      </x:c>
      <x:c r="M238" t="str">
        <x:f>IFERROR(XLOOKUP(B238,'30th Products'!B:B,'30th Products'!E:E),"")</x:f>
      </x:c>
      <x:c r="N238"/>
      <x:c r="O238" s="31"/>
    </x:row>
    <x:row r="239">
      <x:c r="A239" s="48"/>
      <x:c r="B239"/>
      <x:c r="C239"/>
      <x:c r="D239"/>
      <x:c r="E239" s="50"/>
      <x:c r="F239" s="50"/>
      <x:c r="G239" s="50" t="str">
        <x:f>IF(D239="","",D239*E239+F239)</x:f>
      </x:c>
      <x:c r="H239" s="50" t="str">
        <x:f>IFERROR(XLOOKUP(B239,'30th Products'!B:B,'30th Products'!C:C),"")</x:f>
      </x:c>
      <x:c r="I239" s="52" t="str">
        <x:f>IFERROR(E239/H239-1,"")</x:f>
      </x:c>
      <x:c r="J239" s="50"/>
      <x:c r="K239" s="50" t="str">
        <x:f>IF(D239="","",D239*J239)</x:f>
      </x:c>
      <x:c r="L239" s="50" t="str">
        <x:f>IF(K239="","",K239-G239)</x:f>
      </x:c>
      <x:c r="M239" t="str">
        <x:f>IFERROR(XLOOKUP(B239,'30th Products'!B:B,'30th Products'!E:E),"")</x:f>
      </x:c>
      <x:c r="N239"/>
      <x:c r="O239" s="31"/>
    </x:row>
    <x:row r="240">
      <x:c r="A240" s="48"/>
      <x:c r="B240"/>
      <x:c r="C240"/>
      <x:c r="D240"/>
      <x:c r="E240" s="50"/>
      <x:c r="F240" s="50"/>
      <x:c r="G240" s="50" t="str">
        <x:f>IF(D240="","",D240*E240+F240)</x:f>
      </x:c>
      <x:c r="H240" s="50" t="str">
        <x:f>IFERROR(XLOOKUP(B240,'30th Products'!B:B,'30th Products'!C:C),"")</x:f>
      </x:c>
      <x:c r="I240" s="52" t="str">
        <x:f>IFERROR(E240/H240-1,"")</x:f>
      </x:c>
      <x:c r="J240" s="50"/>
      <x:c r="K240" s="50" t="str">
        <x:f>IF(D240="","",D240*J240)</x:f>
      </x:c>
      <x:c r="L240" s="50" t="str">
        <x:f>IF(K240="","",K240-G240)</x:f>
      </x:c>
      <x:c r="M240" t="str">
        <x:f>IFERROR(XLOOKUP(B240,'30th Products'!B:B,'30th Products'!E:E),"")</x:f>
      </x:c>
      <x:c r="N240"/>
      <x:c r="O240" s="31"/>
    </x:row>
    <x:row r="241">
      <x:c r="A241" s="48"/>
      <x:c r="B241"/>
      <x:c r="C241"/>
      <x:c r="D241"/>
      <x:c r="E241" s="50"/>
      <x:c r="F241" s="50"/>
      <x:c r="G241" s="50" t="str">
        <x:f>IF(D241="","",D241*E241+F241)</x:f>
      </x:c>
      <x:c r="H241" s="50" t="str">
        <x:f>IFERROR(XLOOKUP(B241,'30th Products'!B:B,'30th Products'!C:C),"")</x:f>
      </x:c>
      <x:c r="I241" s="52" t="str">
        <x:f>IFERROR(E241/H241-1,"")</x:f>
      </x:c>
      <x:c r="J241" s="50"/>
      <x:c r="K241" s="50" t="str">
        <x:f>IF(D241="","",D241*J241)</x:f>
      </x:c>
      <x:c r="L241" s="50" t="str">
        <x:f>IF(K241="","",K241-G241)</x:f>
      </x:c>
      <x:c r="M241" t="str">
        <x:f>IFERROR(XLOOKUP(B241,'30th Products'!B:B,'30th Products'!E:E),"")</x:f>
      </x:c>
      <x:c r="N241"/>
      <x:c r="O241" s="31"/>
    </x:row>
    <x:row r="242">
      <x:c r="A242" s="48"/>
      <x:c r="B242"/>
      <x:c r="C242"/>
      <x:c r="D242"/>
      <x:c r="E242" s="50"/>
      <x:c r="F242" s="50"/>
      <x:c r="G242" s="50" t="str">
        <x:f>IF(D242="","",D242*E242+F242)</x:f>
      </x:c>
      <x:c r="H242" s="50" t="str">
        <x:f>IFERROR(XLOOKUP(B242,'30th Products'!B:B,'30th Products'!C:C),"")</x:f>
      </x:c>
      <x:c r="I242" s="52" t="str">
        <x:f>IFERROR(E242/H242-1,"")</x:f>
      </x:c>
      <x:c r="J242" s="50"/>
      <x:c r="K242" s="50" t="str">
        <x:f>IF(D242="","",D242*J242)</x:f>
      </x:c>
      <x:c r="L242" s="50" t="str">
        <x:f>IF(K242="","",K242-G242)</x:f>
      </x:c>
      <x:c r="M242" t="str">
        <x:f>IFERROR(XLOOKUP(B242,'30th Products'!B:B,'30th Products'!E:E),"")</x:f>
      </x:c>
      <x:c r="N242"/>
      <x:c r="O242" s="31"/>
    </x:row>
    <x:row r="243">
      <x:c r="A243" s="48"/>
      <x:c r="B243"/>
      <x:c r="C243"/>
      <x:c r="D243"/>
      <x:c r="E243" s="50"/>
      <x:c r="F243" s="50"/>
      <x:c r="G243" s="50" t="str">
        <x:f>IF(D243="","",D243*E243+F243)</x:f>
      </x:c>
      <x:c r="H243" s="50" t="str">
        <x:f>IFERROR(XLOOKUP(B243,'30th Products'!B:B,'30th Products'!C:C),"")</x:f>
      </x:c>
      <x:c r="I243" s="52" t="str">
        <x:f>IFERROR(E243/H243-1,"")</x:f>
      </x:c>
      <x:c r="J243" s="50"/>
      <x:c r="K243" s="50" t="str">
        <x:f>IF(D243="","",D243*J243)</x:f>
      </x:c>
      <x:c r="L243" s="50" t="str">
        <x:f>IF(K243="","",K243-G243)</x:f>
      </x:c>
      <x:c r="M243" t="str">
        <x:f>IFERROR(XLOOKUP(B243,'30th Products'!B:B,'30th Products'!E:E),"")</x:f>
      </x:c>
      <x:c r="N243"/>
      <x:c r="O243" s="31"/>
    </x:row>
    <x:row r="244">
      <x:c r="A244" s="48"/>
      <x:c r="B244"/>
      <x:c r="C244"/>
      <x:c r="D244"/>
      <x:c r="E244" s="50"/>
      <x:c r="F244" s="50"/>
      <x:c r="G244" s="50" t="str">
        <x:f>IF(D244="","",D244*E244+F244)</x:f>
      </x:c>
      <x:c r="H244" s="50" t="str">
        <x:f>IFERROR(XLOOKUP(B244,'30th Products'!B:B,'30th Products'!C:C),"")</x:f>
      </x:c>
      <x:c r="I244" s="52" t="str">
        <x:f>IFERROR(E244/H244-1,"")</x:f>
      </x:c>
      <x:c r="J244" s="50"/>
      <x:c r="K244" s="50" t="str">
        <x:f>IF(D244="","",D244*J244)</x:f>
      </x:c>
      <x:c r="L244" s="50" t="str">
        <x:f>IF(K244="","",K244-G244)</x:f>
      </x:c>
      <x:c r="M244" t="str">
        <x:f>IFERROR(XLOOKUP(B244,'30th Products'!B:B,'30th Products'!E:E),"")</x:f>
      </x:c>
      <x:c r="N244"/>
      <x:c r="O244" s="31"/>
    </x:row>
    <x:row r="245">
      <x:c r="A245" s="48"/>
      <x:c r="B245"/>
      <x:c r="C245"/>
      <x:c r="D245"/>
      <x:c r="E245" s="50"/>
      <x:c r="F245" s="50"/>
      <x:c r="G245" s="50" t="str">
        <x:f>IF(D245="","",D245*E245+F245)</x:f>
      </x:c>
      <x:c r="H245" s="50" t="str">
        <x:f>IFERROR(XLOOKUP(B245,'30th Products'!B:B,'30th Products'!C:C),"")</x:f>
      </x:c>
      <x:c r="I245" s="52" t="str">
        <x:f>IFERROR(E245/H245-1,"")</x:f>
      </x:c>
      <x:c r="J245" s="50"/>
      <x:c r="K245" s="50" t="str">
        <x:f>IF(D245="","",D245*J245)</x:f>
      </x:c>
      <x:c r="L245" s="50" t="str">
        <x:f>IF(K245="","",K245-G245)</x:f>
      </x:c>
      <x:c r="M245" t="str">
        <x:f>IFERROR(XLOOKUP(B245,'30th Products'!B:B,'30th Products'!E:E),"")</x:f>
      </x:c>
      <x:c r="N245"/>
      <x:c r="O245" s="31"/>
    </x:row>
    <x:row r="246">
      <x:c r="A246" s="48"/>
      <x:c r="B246"/>
      <x:c r="C246"/>
      <x:c r="D246"/>
      <x:c r="E246" s="50"/>
      <x:c r="F246" s="50"/>
      <x:c r="G246" s="50" t="str">
        <x:f>IF(D246="","",D246*E246+F246)</x:f>
      </x:c>
      <x:c r="H246" s="50" t="str">
        <x:f>IFERROR(XLOOKUP(B246,'30th Products'!B:B,'30th Products'!C:C),"")</x:f>
      </x:c>
      <x:c r="I246" s="52" t="str">
        <x:f>IFERROR(E246/H246-1,"")</x:f>
      </x:c>
      <x:c r="J246" s="50"/>
      <x:c r="K246" s="50" t="str">
        <x:f>IF(D246="","",D246*J246)</x:f>
      </x:c>
      <x:c r="L246" s="50" t="str">
        <x:f>IF(K246="","",K246-G246)</x:f>
      </x:c>
      <x:c r="M246" t="str">
        <x:f>IFERROR(XLOOKUP(B246,'30th Products'!B:B,'30th Products'!E:E),"")</x:f>
      </x:c>
      <x:c r="N246"/>
      <x:c r="O246" s="31"/>
    </x:row>
    <x:row r="247">
      <x:c r="A247" s="48"/>
      <x:c r="B247"/>
      <x:c r="C247"/>
      <x:c r="D247"/>
      <x:c r="E247" s="50"/>
      <x:c r="F247" s="50"/>
      <x:c r="G247" s="50" t="str">
        <x:f>IF(D247="","",D247*E247+F247)</x:f>
      </x:c>
      <x:c r="H247" s="50" t="str">
        <x:f>IFERROR(XLOOKUP(B247,'30th Products'!B:B,'30th Products'!C:C),"")</x:f>
      </x:c>
      <x:c r="I247" s="52" t="str">
        <x:f>IFERROR(E247/H247-1,"")</x:f>
      </x:c>
      <x:c r="J247" s="50"/>
      <x:c r="K247" s="50" t="str">
        <x:f>IF(D247="","",D247*J247)</x:f>
      </x:c>
      <x:c r="L247" s="50" t="str">
        <x:f>IF(K247="","",K247-G247)</x:f>
      </x:c>
      <x:c r="M247" t="str">
        <x:f>IFERROR(XLOOKUP(B247,'30th Products'!B:B,'30th Products'!E:E),"")</x:f>
      </x:c>
      <x:c r="N247"/>
      <x:c r="O247" s="31"/>
    </x:row>
    <x:row r="248">
      <x:c r="A248" s="48"/>
      <x:c r="B248"/>
      <x:c r="C248"/>
      <x:c r="D248"/>
      <x:c r="E248" s="50"/>
      <x:c r="F248" s="50"/>
      <x:c r="G248" s="50" t="str">
        <x:f>IF(D248="","",D248*E248+F248)</x:f>
      </x:c>
      <x:c r="H248" s="50" t="str">
        <x:f>IFERROR(XLOOKUP(B248,'30th Products'!B:B,'30th Products'!C:C),"")</x:f>
      </x:c>
      <x:c r="I248" s="52" t="str">
        <x:f>IFERROR(E248/H248-1,"")</x:f>
      </x:c>
      <x:c r="J248" s="50"/>
      <x:c r="K248" s="50" t="str">
        <x:f>IF(D248="","",D248*J248)</x:f>
      </x:c>
      <x:c r="L248" s="50" t="str">
        <x:f>IF(K248="","",K248-G248)</x:f>
      </x:c>
      <x:c r="M248" t="str">
        <x:f>IFERROR(XLOOKUP(B248,'30th Products'!B:B,'30th Products'!E:E),"")</x:f>
      </x:c>
      <x:c r="N248"/>
      <x:c r="O248" s="31"/>
    </x:row>
    <x:row r="249">
      <x:c r="A249" s="48"/>
      <x:c r="B249"/>
      <x:c r="C249"/>
      <x:c r="D249"/>
      <x:c r="E249" s="50"/>
      <x:c r="F249" s="50"/>
      <x:c r="G249" s="50" t="str">
        <x:f>IF(D249="","",D249*E249+F249)</x:f>
      </x:c>
      <x:c r="H249" s="50" t="str">
        <x:f>IFERROR(XLOOKUP(B249,'30th Products'!B:B,'30th Products'!C:C),"")</x:f>
      </x:c>
      <x:c r="I249" s="52" t="str">
        <x:f>IFERROR(E249/H249-1,"")</x:f>
      </x:c>
      <x:c r="J249" s="50"/>
      <x:c r="K249" s="50" t="str">
        <x:f>IF(D249="","",D249*J249)</x:f>
      </x:c>
      <x:c r="L249" s="50" t="str">
        <x:f>IF(K249="","",K249-G249)</x:f>
      </x:c>
      <x:c r="M249" t="str">
        <x:f>IFERROR(XLOOKUP(B249,'30th Products'!B:B,'30th Products'!E:E),"")</x:f>
      </x:c>
      <x:c r="N249"/>
      <x:c r="O249" s="31"/>
    </x:row>
    <x:row r="250">
      <x:c r="A250" s="48"/>
      <x:c r="B250"/>
      <x:c r="C250"/>
      <x:c r="D250"/>
      <x:c r="E250" s="50"/>
      <x:c r="F250" s="50"/>
      <x:c r="G250" s="50" t="str">
        <x:f>IF(D250="","",D250*E250+F250)</x:f>
      </x:c>
      <x:c r="H250" s="50" t="str">
        <x:f>IFERROR(XLOOKUP(B250,'30th Products'!B:B,'30th Products'!C:C),"")</x:f>
      </x:c>
      <x:c r="I250" s="52" t="str">
        <x:f>IFERROR(E250/H250-1,"")</x:f>
      </x:c>
      <x:c r="J250" s="50"/>
      <x:c r="K250" s="50" t="str">
        <x:f>IF(D250="","",D250*J250)</x:f>
      </x:c>
      <x:c r="L250" s="50" t="str">
        <x:f>IF(K250="","",K250-G250)</x:f>
      </x:c>
      <x:c r="M250" t="str">
        <x:f>IFERROR(XLOOKUP(B250,'30th Products'!B:B,'30th Products'!E:E),"")</x:f>
      </x:c>
      <x:c r="N250"/>
      <x:c r="O250" s="31"/>
    </x:row>
  </x:sheetData>
  <x:conditionalFormatting sqref="I2:I250">
    <x:cfRule type="cellIs" dxfId="3" priority="1" operator="lessThanOrEqual">
      <x:formula>0</x:formula>
    </x:cfRule>
    <x:cfRule type="cellIs" dxfId="4" priority="2" operator="greaterThan">
      <x:formula>0.25</x:formula>
    </x:cfRule>
  </x:conditionalFormatting>
  <x:conditionalFormatting sqref="L2:L250">
    <x:cfRule type="cellIs" dxfId="5" priority="3" operator="greaterThan">
      <x:formula>0</x:formula>
    </x:cfRule>
    <x:cfRule type="cellIs" dxfId="6" priority="4" operator="lessThan">
      <x:formula>0</x:formula>
    </x:cfRule>
  </x:conditionalFormatting>
  <x:dataValidations count="2">
    <x:dataValidation type="list" sqref="M2:M250">
      <x:formula1>"S,A,B,C"</x:formula1>
    </x:dataValidation>
    <x:dataValidation type="list" sqref="N2:N250">
      <x:formula1>"Watching,Reserved,Buy/Ordered,Received,Cancelled,Sold"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d8ab467a614e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22" hidden="0" customWidth="1"/>
    <x:col min="5" max="5" width="42" hidden="0" customWidth="1"/>
    <x:col min="6" max="6" width="20" hidden="0" customWidth="1"/>
    <x:col min="7" max="7" width="32" hidden="0" customWidth="1"/>
    <x:col min="8" max="8" width="45" hidden="0" customWidth="1"/>
  </x:cols>
  <x:sheetData>
    <x:row r="1">
      <x:c r="A1" s="32" t="str">
        <x:v>Retailer</x:v>
      </x:c>
      <x:c r="B1" s="32" t="str">
        <x:v>Type</x:v>
      </x:c>
      <x:c r="C1" s="32" t="str">
        <x:v>Account/Pro Needed</x:v>
      </x:c>
      <x:c r="D1" s="32" t="str">
        <x:v>Alert Method</x:v>
      </x:c>
      <x:c r="E1" s="32" t="str">
        <x:v>Expected Strategy</x:v>
      </x:c>
      <x:c r="F1" s="32" t="str">
        <x:v>Risk</x:v>
      </x:c>
      <x:c r="G1" s="32" t="str">
        <x:v>Target Action</x:v>
      </x:c>
      <x:c r="H1" s="32" t="str">
        <x:v>URL</x:v>
      </x:c>
    </x:row>
    <x:row r="2">
      <x:c r="A2" t="str">
        <x:v>Pokémon Center</x:v>
      </x:c>
      <x:c r="B2" t="str">
        <x:v>Official</x:v>
      </x:c>
      <x:c r="C2" t="str">
        <x:v>Account/login ready</x:v>
      </x:c>
      <x:c r="D2" t="str">
        <x:v>Browser alerts + email + social</x:v>
      </x:c>
      <x:c r="E2" t="str">
        <x:v>Highest priority for PC ETBs and exclusive products.</x:v>
      </x:c>
      <x:c r="F2" t="str">
        <x:v>Bots/sellouts</x:v>
      </x:c>
      <x:c r="G2" t="str">
        <x:v>Check several times daily once preorders start.</x:v>
      </x:c>
      <x:c r="H2" t="str">
        <x:v>https://www.pokemoncenter.com/</x:v>
      </x:c>
    </x:row>
    <x:row r="3">
      <x:c r="A3" t="str">
        <x:v>Best Buy</x:v>
      </x:c>
      <x:c r="B3" t="str">
        <x:v>Big box</x:v>
      </x:c>
      <x:c r="C3" t="str">
        <x:v>Account recommended</x:v>
      </x:c>
      <x:c r="D3" t="str">
        <x:v>App wishlist + notifications</x:v>
      </x:c>
      <x:c r="E3" t="str">
        <x:v>Often offers MSRP drops and pickup.</x:v>
      </x:c>
      <x:c r="F3" t="str">
        <x:v>Short windows</x:v>
      </x:c>
      <x:c r="G3" t="str">
        <x:v>Save payment/shipping; refresh at product launch windows.</x:v>
      </x:c>
      <x:c r="H3" t="str">
        <x:v>https://www.bestbuy.com/</x:v>
      </x:c>
    </x:row>
    <x:row r="4">
      <x:c r="A4" t="str">
        <x:v>GameStop</x:v>
      </x:c>
      <x:c r="B4" t="str">
        <x:v>Big box/LGS hybrid</x:v>
      </x:c>
      <x:c r="C4" t="str">
        <x:v>Pro helpful</x:v>
      </x:c>
      <x:c r="D4" t="str">
        <x:v>App + local store relationship</x:v>
      </x:c>
      <x:c r="E4" t="str">
        <x:v>Good for preorders; stores may know allocation early.</x:v>
      </x:c>
      <x:c r="F4" t="str">
        <x:v>Markup/bundle pressure</x:v>
      </x:c>
      <x:c r="G4" t="str">
        <x:v>Ask store manager about reserve list.</x:v>
      </x:c>
      <x:c r="H4" t="str">
        <x:v>https://www.gamestop.com/</x:v>
      </x:c>
    </x:row>
    <x:row r="5">
      <x:c r="A5" t="str">
        <x:v>Target</x:v>
      </x:c>
      <x:c r="B5" t="str">
        <x:v>Big box</x:v>
      </x:c>
      <x:c r="C5" t="str">
        <x:v>Account recommended</x:v>
      </x:c>
      <x:c r="D5" t="str">
        <x:v>App alerts</x:v>
      </x:c>
      <x:c r="E5" t="str">
        <x:v>Good MSRP restocks, especially ETBs/collections.</x:v>
      </x:c>
      <x:c r="F5" t="str">
        <x:v>Bot competition</x:v>
      </x:c>
      <x:c r="G5" t="str">
        <x:v>Check early mornings and release week.</x:v>
      </x:c>
      <x:c r="H5" t="str">
        <x:v>https://www.target.com/</x:v>
      </x:c>
    </x:row>
    <x:row r="6">
      <x:c r="A6" t="str">
        <x:v>Walmart</x:v>
      </x:c>
      <x:c r="B6" t="str">
        <x:v>Big box + marketplace</x:v>
      </x:c>
      <x:c r="C6" t="str">
        <x:v>Account recommended</x:v>
      </x:c>
      <x:c r="D6" t="str">
        <x:v>App alerts</x:v>
      </x:c>
      <x:c r="E6" t="str">
        <x:v>Use only sold/shipped by Walmart at MSRP or target.</x:v>
      </x:c>
      <x:c r="F6" t="str">
        <x:v>Marketplace overpricing</x:v>
      </x:c>
      <x:c r="G6" t="str">
        <x:v>Filter seller; avoid 3P premiums unless still under buy target.</x:v>
      </x:c>
      <x:c r="H6" t="str">
        <x:v>https://www.walmart.com/</x:v>
      </x:c>
    </x:row>
    <x:row r="7">
      <x:c r="A7" t="str">
        <x:v>Local Game Store</x:v>
      </x:c>
      <x:c r="B7" t="str">
        <x:v>Local</x:v>
      </x:c>
      <x:c r="C7" t="str">
        <x:v>Relationship</x:v>
      </x:c>
      <x:c r="D7" t="str">
        <x:v>Direct ask</x:v>
      </x:c>
      <x:c r="E7" t="str">
        <x:v>Best chance to reserve allocations before hype peaks.</x:v>
      </x:c>
      <x:c r="F7" t="str">
        <x:v>Above-MSRP pricing</x:v>
      </x:c>
      <x:c r="G7" t="str">
        <x:v>Offer deposit and bundle pickup; ask for first-right-of-refusal.</x:v>
      </x:c>
      <x:c r="H7" t="str"/>
    </x:row>
    <x:row r="8">
      <x:c r="A8" t="str">
        <x:v>Miniature Market</x:v>
      </x:c>
      <x:c r="B8" t="str">
        <x:v>Online hobby</x:v>
      </x:c>
      <x:c r="C8" t="str">
        <x:v>Account recommended</x:v>
      </x:c>
      <x:c r="D8" t="str">
        <x:v>Email alerts</x:v>
      </x:c>
      <x:c r="E8" t="str">
        <x:v>Often receives specialty sealed product allocations.</x:v>
      </x:c>
      <x:c r="F8" t="str">
        <x:v>Fast sellouts</x:v>
      </x:c>
      <x:c r="G8" t="str">
        <x:v>Create alerts for UPC/ETB/booster bundle.</x:v>
      </x:c>
      <x:c r="H8" t="str">
        <x:v>https://www.miniaturemarket.com/</x:v>
      </x:c>
    </x:row>
    <x:row r="9">
      <x:c r="A9" t="str">
        <x:v>eBay</x:v>
      </x:c>
      <x:c r="B9" t="str">
        <x:v>Marketplace</x:v>
      </x:c>
      <x:c r="C9" t="str">
        <x:v>Saved search</x:v>
      </x:c>
      <x:c r="D9" t="str">
        <x:v>Saved search email alerts</x:v>
      </x:c>
      <x:c r="E9" t="str">
        <x:v>Only for under-market buys after release.</x:v>
      </x:c>
      <x:c r="F9" t="str">
        <x:v>Fakes/markups/shipping</x:v>
      </x:c>
      <x:c r="G9" t="str">
        <x:v>Set max bids based on Buy Under thresholds.</x:v>
      </x:c>
      <x:c r="H9" t="str">
        <x:v>https://www.ebay.com/</x:v>
      </x:c>
    </x:row>
  </x:sheetData>
  <x:pageMargins left="0.7" right="0.7" top="0.75" bottom="0.75" header="0.3" footer="0.3"/>
  <x:tableParts count="1">
    <x:tablePart xmlns:r="http://schemas.openxmlformats.org/officeDocument/2006/relationships" r:id="Rd85852f2ae584d4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0" hidden="0" customWidth="1"/>
    <x:col min="4" max="4" width="46" hidden="0" customWidth="1"/>
  </x:cols>
  <x:sheetData>
    <x:row r="1">
      <x:c r="A1" s="32" t="str">
        <x:v>Rule</x:v>
      </x:c>
      <x:c r="B1" s="32" t="str">
        <x:v>Trigger</x:v>
      </x:c>
      <x:c r="C1" s="32" t="str">
        <x:v>Action</x:v>
      </x:c>
      <x:c r="D1" s="32" t="str">
        <x:v>Rationale</x:v>
      </x:c>
    </x:row>
    <x:row r="2">
      <x:c r="A2" t="str">
        <x:v>MSRP first</x:v>
      </x:c>
      <x:c r="B2" t="str">
        <x:v>Product available at MSRP</x:v>
      </x:c>
      <x:c r="C2" t="str">
        <x:v>Buy up to goal qty for S/A priority items.</x:v>
      </x:c>
      <x:c r="D2" t="str">
        <x:v>MSRP creates margin of safety.</x:v>
      </x:c>
    </x:row>
    <x:row r="3">
      <x:c r="A3" t="str">
        <x:v>Pay premium selectively</x:v>
      </x:c>
      <x:c r="B3" t="str">
        <x:v>Market above MSRP</x:v>
      </x:c>
      <x:c r="C3" t="str">
        <x:v>Only pay above MSRP for PC ETB, UPC, Booster Bundle, Mew/Mewtwo figure products.</x:v>
      </x:c>
      <x:c r="D3" t="str">
        <x:v>These have strongest sealed investment thesis.</x:v>
      </x:c>
    </x:row>
    <x:row r="4">
      <x:c r="A4" t="str">
        <x:v>No panic buying</x:v>
      </x:c>
      <x:c r="B4" t="str">
        <x:v>Price exceeds Pass Above</x:v>
      </x:c>
      <x:c r="C4" t="str">
        <x:v>Skip and wait for restock or post-release dip.</x:v>
      </x:c>
      <x:c r="D4" t="str">
        <x:v>Preserves dry powder.</x:v>
      </x:c>
    </x:row>
    <x:row r="5">
      <x:c r="A5" t="str">
        <x:v>Basket negotiation</x:v>
      </x:c>
      <x:c r="B5" t="str">
        <x:v>Buying from LGS</x:v>
      </x:c>
      <x:c r="C5" t="str">
        <x:v>Ask for a bundle price across 3+ items.</x:v>
      </x:c>
      <x:c r="D5" t="str">
        <x:v>Stores prefer moving multiple units.</x:v>
      </x:c>
    </x:row>
    <x:row r="6">
      <x:c r="A6" t="str">
        <x:v>Marketplace filter</x:v>
      </x:c>
      <x:c r="B6" t="str">
        <x:v>Walmart/eBay/Amazon</x:v>
      </x:c>
      <x:c r="C6" t="str">
        <x:v>Confirm seller, sealed condition, return policy, and no reseal risk.</x:v>
      </x:c>
      <x:c r="D6" t="str">
        <x:v>Avoid bad inventory and inflated shipping.</x:v>
      </x:c>
    </x:row>
    <x:row r="7">
      <x:c r="A7" t="str">
        <x:v>Capital reserve</x:v>
      </x:c>
      <x:c r="B7" t="str">
        <x:v>Budget &gt;70% spent</x:v>
      </x:c>
      <x:c r="C7" t="str">
        <x:v>Stop unless item is below Buy Under.</x:v>
      </x:c>
      <x:c r="D7" t="str">
        <x:v>Prevents overconcentration early in release cycle.</x:v>
      </x:c>
    </x:row>
  </x:sheetData>
  <x:pageMargins left="0.7" right="0.7" top="0.75" bottom="0.75" header="0.3" footer="0.3"/>
  <x:tableParts count="1">
    <x:tablePart xmlns:r="http://schemas.openxmlformats.org/officeDocument/2006/relationships" r:id="R76618fca68264d1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8" hidden="0" customWidth="1"/>
    <x:col min="3" max="3" width="72" hidden="0" customWidth="1"/>
  </x:cols>
  <x:sheetData>
    <x:row r="1">
      <x:c r="A1" s="32" t="str">
        <x:v>Source</x:v>
      </x:c>
      <x:c r="B1" s="32" t="str">
        <x:v>Use</x:v>
      </x:c>
      <x:c r="C1" s="32" t="str">
        <x:v>URL</x:v>
      </x:c>
    </x:row>
    <x:row r="2">
      <x:c r="A2" t="str">
        <x:v>Official Pokémon 30th Celebration Product Showcase</x:v>
      </x:c>
      <x:c r="B2" t="str">
        <x:v>Confirmed product contents and product imagery.</x:v>
      </x:c>
      <x:c r="C2" t="str">
        <x:v>https://www.pokemon.com/us/news/pokemon-tcg-30th-celebration-product-showcase</x:v>
      </x:c>
    </x:row>
    <x:row r="3">
      <x:c r="A3" t="str">
        <x:v>PokeBeach 30th Celebration lineup</x:v>
      </x:c>
      <x:c r="B3" t="str">
        <x:v>MSRP, release waves, and product lineup details.</x:v>
      </x:c>
      <x:c r="C3" t="str">
        <x:v>https://www.pokebeach.com/2026/06/30th-celebration-full-english-product-lineup-revealed</x:v>
      </x:c>
    </x:row>
    <x:row r="4">
      <x:c r="A4" t="str">
        <x:v>PokeBeach 30th Celebration set reveal</x:v>
      </x:c>
      <x:c r="B4" t="str">
        <x:v>Worldwide September 16 release and set characteristics.</x:v>
      </x:c>
      <x:c r="C4" t="str">
        <x:v>https://www.pokebeach.com/2026/06/30th-celebration-set-revealed</x:v>
      </x:c>
    </x:row>
    <x:row r="5">
      <x:c r="A5" t="str">
        <x:v>GamesRadar 30th Celebration coverage</x:v>
      </x:c>
      <x:c r="B5" t="str">
        <x:v>Collector demand context and rarity discussion.</x:v>
      </x:c>
      <x:c r="C5" t="str">
        <x:v>https://www.gamesradar.com/tabletop-gaming/pokemon-tcg-introduces-new-card-rarity-with-gorgeous-30th-celebration-collection/</x:v>
      </x:c>
    </x:row>
  </x:sheetData>
  <x:pageMargins left="0.7" right="0.7" top="0.75" bottom="0.75" header="0.3" footer="0.3"/>
  <x:tableParts count="1">
    <x:tablePart xmlns:r="http://schemas.openxmlformats.org/officeDocument/2006/relationships" r:id="Rf492cbceca4d4dcd"/>
  </x:tableParts>
</x:worksheet>
</file>